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3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Executive Summary" sheetId="1" state="visible" r:id="rId3"/>
    <sheet name="2. Client Profile" sheetId="2" state="visible" r:id="rId4"/>
    <sheet name="3. Assumptions" sheetId="3" state="visible" r:id="rId5"/>
    <sheet name="4. Cash Flow" sheetId="4" state="visible" r:id="rId6"/>
    <sheet name="5. Net Worth" sheetId="5" state="visible" r:id="rId7"/>
    <sheet name="6. Debt &amp; Liquidity" sheetId="6" state="visible" r:id="rId8"/>
    <sheet name="7. Retirement" sheetId="7" state="visible" r:id="rId9"/>
    <sheet name="8. Portfolio" sheetId="8" state="visible" r:id="rId10"/>
    <sheet name="9. Insurance" sheetId="9" state="visible" r:id="rId11"/>
    <sheet name="10. Tax &amp; Retirement" sheetId="10" state="visible" r:id="rId12"/>
    <sheet name="11. Action Plan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<sst xmlns="http://schemas.openxmlformats.org/spreadsheetml/2006/main" count="711" uniqueCount="549">
  <si>
    <t xml:space="preserve">Comprehensive Financial Plan</t>
  </si>
  <si>
    <t xml:space="preserve">Mitchell Household — Prepared October 2026</t>
  </si>
  <si>
    <t xml:space="preserve">Case study for educational use. Not investment, tax, legal, or insurance advice. Recommendations are illustrative and based on stated assumptions.</t>
  </si>
  <si>
    <t xml:space="preserve">CLIENT SNAPSHOT</t>
  </si>
  <si>
    <t xml:space="preserve">Client</t>
  </si>
  <si>
    <t xml:space="preserve">Sarah Mitchell</t>
  </si>
  <si>
    <t xml:space="preserve">Spouse</t>
  </si>
  <si>
    <t xml:space="preserve">Michael Mitchell</t>
  </si>
  <si>
    <t xml:space="preserve">Ages</t>
  </si>
  <si>
    <t xml:space="preserve">38 / 36</t>
  </si>
  <si>
    <t xml:space="preserve">Location</t>
  </si>
  <si>
    <t xml:space="preserve">Tyler, Texas</t>
  </si>
  <si>
    <t xml:space="preserve">Household Income</t>
  </si>
  <si>
    <t xml:space="preserve">$172,000</t>
  </si>
  <si>
    <t xml:space="preserve">Business</t>
  </si>
  <si>
    <t xml:space="preserve">East Texas Landscaping &amp; Design LLC</t>
  </si>
  <si>
    <t xml:space="preserve">Dependents</t>
  </si>
  <si>
    <t xml:space="preserve">2 children (ages 8, 11)</t>
  </si>
  <si>
    <t xml:space="preserve">Plan Date</t>
  </si>
  <si>
    <t xml:space="preserve">October 2026</t>
  </si>
  <si>
    <t xml:space="preserve">KEY FINANCIAL METRICS</t>
  </si>
  <si>
    <t xml:space="preserve">Net Worth</t>
  </si>
  <si>
    <t xml:space="preserve">Monthly Net Cash Flow</t>
  </si>
  <si>
    <t xml:space="preserve">Current Savings Rate</t>
  </si>
  <si>
    <t xml:space="preserve">Emergency Fund (months)</t>
  </si>
  <si>
    <t xml:space="preserve">Retirement Savings</t>
  </si>
  <si>
    <t xml:space="preserve">Retirement Funding Gap</t>
  </si>
  <si>
    <t xml:space="preserve">KEY RECOMMENDATIONS</t>
  </si>
  <si>
    <t xml:space="preserve">Recommendation</t>
  </si>
  <si>
    <t xml:space="preserve">Description</t>
  </si>
  <si>
    <t xml:space="preserve">Timeline</t>
  </si>
  <si>
    <t xml:space="preserve">1. Emergency Fund</t>
  </si>
  <si>
    <t xml:space="preserve">Increase reserves from $15K to $45K (6 months) over 18 months</t>
  </si>
  <si>
    <t xml:space="preserve">HIGH</t>
  </si>
  <si>
    <t xml:space="preserve">0-6 months</t>
  </si>
  <si>
    <t xml:space="preserve">2. Retirement Plan</t>
  </si>
  <si>
    <t xml:space="preserve">Establish SEP IRA for the business; increase total savings to $25K/yr</t>
  </si>
  <si>
    <t xml:space="preserve">3. Debt Payoff</t>
  </si>
  <si>
    <t xml:space="preserve">Pay off $8,500 credit card debt within 6 months using avalanche method</t>
  </si>
  <si>
    <t xml:space="preserve">4. Life Insurance</t>
  </si>
  <si>
    <t xml:space="preserve">Purchase $1.25M term life on Sarah + $750K on Michael</t>
  </si>
  <si>
    <t xml:space="preserve">5. Disability</t>
  </si>
  <si>
    <t xml:space="preserve">Obtain disability income insurance (business overhead + personal)</t>
  </si>
  <si>
    <t xml:space="preserve">MEDIUM</t>
  </si>
  <si>
    <t xml:space="preserve">6-12 months</t>
  </si>
  <si>
    <t xml:space="preserve">6. College Savings</t>
  </si>
  <si>
    <t xml:space="preserve">Open 529 plans for both children; contribute $400/month total</t>
  </si>
  <si>
    <t xml:space="preserve">7. Tax Strategy</t>
  </si>
  <si>
    <t xml:space="preserve">Implement quarterly tax reserves; explore S-Corp election</t>
  </si>
  <si>
    <t xml:space="preserve">8. Investment Review</t>
  </si>
  <si>
    <t xml:space="preserve">Rebalance IRA to 80/20 equity/bond target allocation</t>
  </si>
  <si>
    <t xml:space="preserve">LOW</t>
  </si>
  <si>
    <t xml:space="preserve">12+ months</t>
  </si>
  <si>
    <t xml:space="preserve">Client Profile &amp; Financial Goals</t>
  </si>
  <si>
    <t xml:space="preserve">Mitchell Household</t>
  </si>
  <si>
    <t xml:space="preserve">PRIMARY CLIENT</t>
  </si>
  <si>
    <t xml:space="preserve">SPOUSE</t>
  </si>
  <si>
    <t xml:space="preserve">Name</t>
  </si>
  <si>
    <t xml:space="preserve">Age</t>
  </si>
  <si>
    <t xml:space="preserve">Occupation</t>
  </si>
  <si>
    <t xml:space="preserve">Business Owner</t>
  </si>
  <si>
    <t xml:space="preserve">Middle School Teacher</t>
  </si>
  <si>
    <t xml:space="preserve">Employer</t>
  </si>
  <si>
    <t xml:space="preserve">Tyler ISD</t>
  </si>
  <si>
    <t xml:space="preserve">Entity Type</t>
  </si>
  <si>
    <t xml:space="preserve">Single-member LLC (Sch. C)</t>
  </si>
  <si>
    <t xml:space="preserve">W-2 Income</t>
  </si>
  <si>
    <t xml:space="preserve">Years in Business</t>
  </si>
  <si>
    <t xml:space="preserve">Health Status</t>
  </si>
  <si>
    <t xml:space="preserve">Good</t>
  </si>
  <si>
    <t xml:space="preserve">Retirement Age</t>
  </si>
  <si>
    <t xml:space="preserve">Retirement Age Target</t>
  </si>
  <si>
    <t xml:space="preserve">DEPENDENTS</t>
  </si>
  <si>
    <t xml:space="preserve">Child 1</t>
  </si>
  <si>
    <t xml:space="preserve">Emma Mitchell, Age 8</t>
  </si>
  <si>
    <t xml:space="preserve">Child 2</t>
  </si>
  <si>
    <t xml:space="preserve">Jacob Mitchell, Age 11</t>
  </si>
  <si>
    <t xml:space="preserve">BUSINESS OVERVIEW</t>
  </si>
  <si>
    <t xml:space="preserve">Item</t>
  </si>
  <si>
    <t xml:space="preserve">Value</t>
  </si>
  <si>
    <t xml:space="preserve">Notes</t>
  </si>
  <si>
    <t xml:space="preserve">Business Name</t>
  </si>
  <si>
    <t xml:space="preserve">Single-member LLC (taxed as sole proprietor)</t>
  </si>
  <si>
    <t xml:space="preserve">Years Operating</t>
  </si>
  <si>
    <t xml:space="preserve">Annual Revenue</t>
  </si>
  <si>
    <t xml:space="preserve">Annual Expenses (incl. payroll)</t>
  </si>
  <si>
    <t xml:space="preserve">Net Business Income</t>
  </si>
  <si>
    <t xml:space="preserve">Number of Employees</t>
  </si>
  <si>
    <t xml:space="preserve">(part-time)</t>
  </si>
  <si>
    <t xml:space="preserve">Owner's Draw (annual)</t>
  </si>
  <si>
    <t xml:space="preserve">Business Assets (equipment)</t>
  </si>
  <si>
    <t xml:space="preserve">Business Debt (equipment loan)</t>
  </si>
  <si>
    <t xml:space="preserve">FINANCIAL GOALS</t>
  </si>
  <si>
    <t xml:space="preserve">#</t>
  </si>
  <si>
    <t xml:space="preserve">Goal</t>
  </si>
  <si>
    <t xml:space="preserve">Target Amount</t>
  </si>
  <si>
    <t xml:space="preserve">Priority</t>
  </si>
  <si>
    <t xml:space="preserve">Build emergency fund (6 months)</t>
  </si>
  <si>
    <t xml:space="preserve">18 months</t>
  </si>
  <si>
    <t xml:space="preserve">Critical</t>
  </si>
  <si>
    <t xml:space="preserve">Pay off credit card debt</t>
  </si>
  <si>
    <t xml:space="preserve">6 months</t>
  </si>
  <si>
    <t xml:space="preserve">Establish SEP IRA for business</t>
  </si>
  <si>
    <t xml:space="preserve">Immediate</t>
  </si>
  <si>
    <t xml:space="preserve">3 months</t>
  </si>
  <si>
    <t xml:space="preserve">High</t>
  </si>
  <si>
    <t xml:space="preserve">Open 529 college savings plans</t>
  </si>
  <si>
    <t xml:space="preserve">Medium</t>
  </si>
  <si>
    <t xml:space="preserve">Increase retirement savings to $25K/yr</t>
  </si>
  <si>
    <t xml:space="preserve">12 months</t>
  </si>
  <si>
    <t xml:space="preserve">Business succession plan</t>
  </si>
  <si>
    <t xml:space="preserve">2-3 years</t>
  </si>
  <si>
    <t xml:space="preserve">Pay off equipment loan early</t>
  </si>
  <si>
    <t xml:space="preserve">24 months</t>
  </si>
  <si>
    <t xml:space="preserve">Low</t>
  </si>
  <si>
    <t xml:space="preserve">Planning Assumptions</t>
  </si>
  <si>
    <t xml:space="preserve">All projections in this plan are based on these inputs</t>
  </si>
  <si>
    <t xml:space="preserve">RETURN &amp; ECONOMIC ASSUMPTIONS</t>
  </si>
  <si>
    <t xml:space="preserve">Assumption</t>
  </si>
  <si>
    <t xml:space="preserve">Inflation rate (CPI)</t>
  </si>
  <si>
    <t xml:space="preserve">Long-term CPI average ~3.0%</t>
  </si>
  <si>
    <t xml:space="preserve">Conservative investment return</t>
  </si>
  <si>
    <t xml:space="preserve">Conservative: 60/40 equity/bond blend</t>
  </si>
  <si>
    <t xml:space="preserve">Base case investment return</t>
  </si>
  <si>
    <t xml:space="preserve">Base: 80/20 equity/bond blend (target)</t>
  </si>
  <si>
    <t xml:space="preserve">Optimistic investment return</t>
  </si>
  <si>
    <t xml:space="preserve">Optimistic: 90/10 equity/bond blend</t>
  </si>
  <si>
    <t xml:space="preserve">Retirement withdrawal rate</t>
  </si>
  <si>
    <t xml:space="preserve">4% safe withdrawal rate (Bengen rule)</t>
  </si>
  <si>
    <t xml:space="preserve">College cost inflation</t>
  </si>
  <si>
    <t xml:space="preserve">529 plan average cost growth</t>
  </si>
  <si>
    <t xml:space="preserve">Social Security COLA (avg)</t>
  </si>
  <si>
    <t xml:space="preserve">Historical SS COLA average</t>
  </si>
  <si>
    <t xml:space="preserve">Income growth rate (annual)</t>
  </si>
  <si>
    <t xml:space="preserve">Moderate income growth assumption</t>
  </si>
  <si>
    <t xml:space="preserve">Mortgage interest rate</t>
  </si>
  <si>
    <t xml:space="preserve">Current 30-yr fixed (obtained 2023)</t>
  </si>
  <si>
    <t xml:space="preserve">Marginal tax rate (federal)</t>
  </si>
  <si>
    <t xml:space="preserve">Federal bracket for $172K MFJ</t>
  </si>
  <si>
    <t xml:space="preserve">Self-employment tax rate</t>
  </si>
  <si>
    <t xml:space="preserve">Social Security + Medicare tax</t>
  </si>
  <si>
    <t xml:space="preserve">Texas state income tax</t>
  </si>
  <si>
    <t xml:space="preserve">Texas has no state income tax</t>
  </si>
  <si>
    <t xml:space="preserve">RETIREMENT PLAN ASSUMPTIONS</t>
  </si>
  <si>
    <t xml:space="preserve">Sarah's retirement age</t>
  </si>
  <si>
    <t xml:space="preserve">Michael's retirement age</t>
  </si>
  <si>
    <t xml:space="preserve">Years to Sarah's retirement</t>
  </si>
  <si>
    <t xml:space="preserve">Sarah's Social Security (age 67)</t>
  </si>
  <si>
    <t xml:space="preserve">Michael's pension (Teacher Retirement)</t>
  </si>
  <si>
    <t xml:space="preserve">Michael's Social Security (age 67)</t>
  </si>
  <si>
    <t xml:space="preserve">Target retirement income (today's $)</t>
  </si>
  <si>
    <t xml:space="preserve">LEGEND</t>
  </si>
  <si>
    <t xml:space="preserve">Blue text</t>
  </si>
  <si>
    <t xml:space="preserve">Hard-coded input / assumption</t>
  </si>
  <si>
    <t xml:space="preserve">Black text</t>
  </si>
  <si>
    <t xml:space="preserve">Calculated formula or function</t>
  </si>
  <si>
    <t xml:space="preserve">Green text</t>
  </si>
  <si>
    <t xml:space="preserve">Direct link to another sheet</t>
  </si>
  <si>
    <t xml:space="preserve">Yellow fill</t>
  </si>
  <si>
    <t xml:space="preserve">Key assumption (change to update projections)</t>
  </si>
  <si>
    <t xml:space="preserve">Cash Flow Analysis</t>
  </si>
  <si>
    <t xml:space="preserve">Monthly and annual income vs. expenses</t>
  </si>
  <si>
    <t xml:space="preserve">MONTHLY INCOME</t>
  </si>
  <si>
    <t xml:space="preserve">Source</t>
  </si>
  <si>
    <t xml:space="preserve">Monthly</t>
  </si>
  <si>
    <t xml:space="preserve">Annual</t>
  </si>
  <si>
    <t xml:space="preserve">After-Tax Monthly</t>
  </si>
  <si>
    <t xml:space="preserve">Sarah's owner draw (avg)</t>
  </si>
  <si>
    <t xml:space="preserve">Michael's W-2 (gross)</t>
  </si>
  <si>
    <t xml:space="preserve">Michael's W-2 (after-tax est.)</t>
  </si>
  <si>
    <t xml:space="preserve">Total Household Income (after-tax)</t>
  </si>
  <si>
    <t xml:space="preserve">MONTHLY EXPENSES</t>
  </si>
  <si>
    <t xml:space="preserve">Category</t>
  </si>
  <si>
    <t xml:space="preserve">% of Income</t>
  </si>
  <si>
    <t xml:space="preserve">Mortgage (P&amp;I)</t>
  </si>
  <si>
    <t xml:space="preserve">Property taxes</t>
  </si>
  <si>
    <t xml:space="preserve">Home insurance</t>
  </si>
  <si>
    <t xml:space="preserve">Utilities (electric, water, gas)</t>
  </si>
  <si>
    <t xml:space="preserve">Internet &amp; phone</t>
  </si>
  <si>
    <t xml:space="preserve">Groceries &amp; household</t>
  </si>
  <si>
    <t xml:space="preserve">Auto payment 1</t>
  </si>
  <si>
    <t xml:space="preserve">Auto payment 2</t>
  </si>
  <si>
    <t xml:space="preserve">Auto insurance</t>
  </si>
  <si>
    <t xml:space="preserve">Fuel / transportation</t>
  </si>
  <si>
    <t xml:space="preserve">Childcare / after-school</t>
  </si>
  <si>
    <t xml:space="preserve">Children's activities</t>
  </si>
  <si>
    <t xml:space="preserve">Entertainment &amp; dining</t>
  </si>
  <si>
    <t xml:space="preserve">Personal &amp; miscellaneous</t>
  </si>
  <si>
    <t xml:space="preserve">Credit card minimums</t>
  </si>
  <si>
    <t xml:space="preserve">Clothing</t>
  </si>
  <si>
    <t xml:space="preserve">Total Expenses</t>
  </si>
  <si>
    <t xml:space="preserve">Net Cash Flow (after-tax)</t>
  </si>
  <si>
    <t xml:space="preserve">CURRENT SAVINGS ALLOCATION</t>
  </si>
  <si>
    <t xml:space="preserve">Savings Target</t>
  </si>
  <si>
    <t xml:space="preserve">Status</t>
  </si>
  <si>
    <t xml:space="preserve">Emergency fund contribution</t>
  </si>
  <si>
    <t xml:space="preserve">In progress</t>
  </si>
  <si>
    <t xml:space="preserve">Michael's 403(b) contribution</t>
  </si>
  <si>
    <t xml:space="preserve">Ongoing</t>
  </si>
  <si>
    <t xml:space="preserve">Credit card debt paydown</t>
  </si>
  <si>
    <t xml:space="preserve">6-month plan</t>
  </si>
  <si>
    <t xml:space="preserve">Discretionary savings</t>
  </si>
  <si>
    <t xml:space="preserve">Unallocated</t>
  </si>
  <si>
    <t xml:space="preserve">SAVINGS RATE SUMMARY</t>
  </si>
  <si>
    <t xml:space="preserve">Metric</t>
  </si>
  <si>
    <t xml:space="preserve">Current savings rate</t>
  </si>
  <si>
    <t xml:space="preserve">Recommended savings rate</t>
  </si>
  <si>
    <t xml:space="preserve">Current total savings (monthly)</t>
  </si>
  <si>
    <t xml:space="preserve">Recommended total savings (monthly)</t>
  </si>
  <si>
    <t xml:space="preserve">Additional savings needed (monthly)</t>
  </si>
  <si>
    <t xml:space="preserve">Chart Data</t>
  </si>
  <si>
    <t xml:space="preserve">Amount</t>
  </si>
  <si>
    <t xml:space="preserve">Income</t>
  </si>
  <si>
    <t xml:space="preserve">Expenses</t>
  </si>
  <si>
    <t xml:space="preserve">Net Cash Flow</t>
  </si>
  <si>
    <t xml:space="preserve">Savings</t>
  </si>
  <si>
    <t xml:space="preserve">Net Worth Statement</t>
  </si>
  <si>
    <t xml:space="preserve">Assets, liabilities, and net worth — as of October 2026</t>
  </si>
  <si>
    <t xml:space="preserve">ASSETS</t>
  </si>
  <si>
    <t xml:space="preserve">Asset</t>
  </si>
  <si>
    <t xml:space="preserve">Current Value</t>
  </si>
  <si>
    <t xml:space="preserve">Liquid?</t>
  </si>
  <si>
    <t xml:space="preserve">% of Total</t>
  </si>
  <si>
    <t xml:space="preserve">Checking account</t>
  </si>
  <si>
    <t xml:space="preserve">Yes</t>
  </si>
  <si>
    <t xml:space="preserve">Savings (emergency fund)</t>
  </si>
  <si>
    <t xml:space="preserve">Sarah's Traditional IRA</t>
  </si>
  <si>
    <t xml:space="preserve">Michael's 403(b)</t>
  </si>
  <si>
    <t xml:space="preserve">529 College Savings</t>
  </si>
  <si>
    <t xml:space="preserve">Home (market value)</t>
  </si>
  <si>
    <t xml:space="preserve">No</t>
  </si>
  <si>
    <t xml:space="preserve">Business equipment</t>
  </si>
  <si>
    <t xml:space="preserve">Vehicles (2)</t>
  </si>
  <si>
    <t xml:space="preserve">Total Assets</t>
  </si>
  <si>
    <t xml:space="preserve">LIABILITIES</t>
  </si>
  <si>
    <t xml:space="preserve">Liability</t>
  </si>
  <si>
    <t xml:space="preserve">Balance</t>
  </si>
  <si>
    <t xml:space="preserve">Interest Rate</t>
  </si>
  <si>
    <t xml:space="preserve">Mortgage</t>
  </si>
  <si>
    <t xml:space="preserve">Equipment loan (business)</t>
  </si>
  <si>
    <t xml:space="preserve">Auto loan 1</t>
  </si>
  <si>
    <t xml:space="preserve">Auto loan 2</t>
  </si>
  <si>
    <t xml:space="preserve">Credit cards</t>
  </si>
  <si>
    <t xml:space="preserve">Total Liabilities</t>
  </si>
  <si>
    <t xml:space="preserve">NET WORTH</t>
  </si>
  <si>
    <t xml:space="preserve">(Net Worth = Total Assets - Total Liabilities)</t>
  </si>
  <si>
    <t xml:space="preserve">KEY RATIOS</t>
  </si>
  <si>
    <t xml:space="preserve">Ratio</t>
  </si>
  <si>
    <t xml:space="preserve">Target</t>
  </si>
  <si>
    <t xml:space="preserve">Debt-to-Asset Ratio</t>
  </si>
  <si>
    <t xml:space="preserve">Current Ratio (liquid assets / current liab.)</t>
  </si>
  <si>
    <t xml:space="preserve">Net Worth to Income</t>
  </si>
  <si>
    <t xml:space="preserve">Liquid Assets to Annual Expenses</t>
  </si>
  <si>
    <t xml:space="preserve">Chart Data: Assets</t>
  </si>
  <si>
    <t xml:space="preserve">Cash &amp; Savings</t>
  </si>
  <si>
    <t xml:space="preserve">Retirement Accounts</t>
  </si>
  <si>
    <t xml:space="preserve">Home</t>
  </si>
  <si>
    <t xml:space="preserve">Business Assets</t>
  </si>
  <si>
    <t xml:space="preserve">Vehicles</t>
  </si>
  <si>
    <t xml:space="preserve">529 Plans</t>
  </si>
  <si>
    <t xml:space="preserve">Debt Management &amp; Liquidity Analysis</t>
  </si>
  <si>
    <t xml:space="preserve">Debt payoff strategy and emergency fund review</t>
  </si>
  <si>
    <t xml:space="preserve">DEBT SUMMARY</t>
  </si>
  <si>
    <t xml:space="preserve">Debt</t>
  </si>
  <si>
    <t xml:space="preserve">APR</t>
  </si>
  <si>
    <t xml:space="preserve">Min. Payment</t>
  </si>
  <si>
    <t xml:space="preserve">Months to Payoff</t>
  </si>
  <si>
    <t xml:space="preserve">Total Interest</t>
  </si>
  <si>
    <t xml:space="preserve">Payoff Order</t>
  </si>
  <si>
    <t xml:space="preserve">Equipment loan</t>
  </si>
  <si>
    <t xml:space="preserve">Total Debt</t>
  </si>
  <si>
    <t xml:space="preserve">Strategy: Debt Avalanche — Pay highest-interest debts first (credit cards → equipment loan → auto loans)</t>
  </si>
  <si>
    <t xml:space="preserve">EMERGENCY FUND ANALYSIS</t>
  </si>
  <si>
    <t xml:space="preserve">Gap</t>
  </si>
  <si>
    <t xml:space="preserve">Current emergency fund</t>
  </si>
  <si>
    <t xml:space="preserve">Monthly expenses (total)</t>
  </si>
  <si>
    <t xml:space="preserve">Current months covered</t>
  </si>
  <si>
    <t xml:space="preserve">Monthly contribution (current)</t>
  </si>
  <si>
    <t xml:space="preserve">Months to reach target</t>
  </si>
  <si>
    <t xml:space="preserve">RECOMMENDED ACTION</t>
  </si>
  <si>
    <t xml:space="preserve">1. Allocate $2,000/month to emergency fund (increase from $500/month)</t>
  </si>
  <si>
    <t xml:space="preserve">2. Dedicate $1,500/month to credit card paydown (paid off in ~6 months)</t>
  </si>
  <si>
    <t xml:space="preserve">3. After credit cards are paid off, redirect $1,500/month to emergency fund</t>
  </si>
  <si>
    <t xml:space="preserve">4. Target: $45,000 emergency fund (6 months expenses) within 18 months</t>
  </si>
  <si>
    <t xml:space="preserve">5. Maintain separate business emergency fund ($15,000) for business operations</t>
  </si>
  <si>
    <t xml:space="preserve">Retirement Projection Analysis</t>
  </si>
  <si>
    <t xml:space="preserve">Current path vs. recommended savings — 3 scenarios</t>
  </si>
  <si>
    <t xml:space="preserve">CURRENT RETIREMENT SAVINGS</t>
  </si>
  <si>
    <t xml:space="preserve">Account</t>
  </si>
  <si>
    <t xml:space="preserve">Owner</t>
  </si>
  <si>
    <t xml:space="preserve">Sarah</t>
  </si>
  <si>
    <t xml:space="preserve">Michael</t>
  </si>
  <si>
    <t xml:space="preserve">Total Current Savings</t>
  </si>
  <si>
    <t xml:space="preserve">PROJECTION ASSUMPTIONS</t>
  </si>
  <si>
    <t xml:space="preserve">Parameter</t>
  </si>
  <si>
    <t xml:space="preserve">Years to retirement</t>
  </si>
  <si>
    <t xml:space="preserve">Age 38 to 67</t>
  </si>
  <si>
    <t xml:space="preserve">Current annual contribution</t>
  </si>
  <si>
    <t xml:space="preserve">$3,600 403(b) + $1,800 IRA</t>
  </si>
  <si>
    <t xml:space="preserve">Recommended annual contribution</t>
  </si>
  <si>
    <t xml:space="preserve">SEP IRA + 403(b) max</t>
  </si>
  <si>
    <t xml:space="preserve">Conservative return</t>
  </si>
  <si>
    <t xml:space="preserve">60/40 portfolio</t>
  </si>
  <si>
    <t xml:space="preserve">Base return</t>
  </si>
  <si>
    <t xml:space="preserve">80/20 portfolio (target)</t>
  </si>
  <si>
    <t xml:space="preserve">Optimistic return</t>
  </si>
  <si>
    <t xml:space="preserve">90/10 portfolio</t>
  </si>
  <si>
    <t xml:space="preserve">Target retirement fund</t>
  </si>
  <si>
    <t xml:space="preserve">$60K/yr @ 4% withdrawal</t>
  </si>
  <si>
    <t xml:space="preserve">RETIREMENT PROJECTION (YEAR-BY-YEAR)</t>
  </si>
  <si>
    <t xml:space="preserve">Year</t>
  </si>
  <si>
    <t xml:space="preserve">Conservative</t>
  </si>
  <si>
    <t xml:space="preserve">Base Case</t>
  </si>
  <si>
    <t xml:space="preserve">Optimistic</t>
  </si>
  <si>
    <t xml:space="preserve">Current Path</t>
  </si>
  <si>
    <t xml:space="preserve">PROJECTED BALANCE AT RETIREMENT (AGE 67)</t>
  </si>
  <si>
    <t xml:space="preserve">Scenario</t>
  </si>
  <si>
    <t xml:space="preserve">Starting Balance</t>
  </si>
  <si>
    <t xml:space="preserve">Annual Contribution</t>
  </si>
  <si>
    <t xml:space="preserve">Return Rate</t>
  </si>
  <si>
    <t xml:space="preserve">Projected Balance</t>
  </si>
  <si>
    <t xml:space="preserve">Annual Withdrawal (4%)</t>
  </si>
  <si>
    <t xml:space="preserve">Meets Target?</t>
  </si>
  <si>
    <t xml:space="preserve">Conservative (Recommended)</t>
  </si>
  <si>
    <t xml:space="preserve">Base Case (Recommended)</t>
  </si>
  <si>
    <t xml:space="preserve">Optimistic (Recommended)</t>
  </si>
  <si>
    <t xml:space="preserve">RETIREMENT FUNDING GAP</t>
  </si>
  <si>
    <t xml:space="preserve">Projected balance (base case, recommended)</t>
  </si>
  <si>
    <t xml:space="preserve">Projected balance (current path)</t>
  </si>
  <si>
    <t xml:space="preserve">Funding gap (base case)</t>
  </si>
  <si>
    <t xml:space="preserve">Funding gap (current path)</t>
  </si>
  <si>
    <t xml:space="preserve">Annual additional savings needed</t>
  </si>
  <si>
    <t xml:space="preserve">Investment Portfolio Recommendation</t>
  </si>
  <si>
    <t xml:space="preserve">Current vs. recommended asset allocation</t>
  </si>
  <si>
    <t xml:space="preserve">CURRENT ASSET ALLOCATION</t>
  </si>
  <si>
    <t xml:space="preserve">Asset Class</t>
  </si>
  <si>
    <t xml:space="preserve">Current $</t>
  </si>
  <si>
    <t xml:space="preserve">Current %</t>
  </si>
  <si>
    <t xml:space="preserve">Target %</t>
  </si>
  <si>
    <t xml:space="preserve">Target $</t>
  </si>
  <si>
    <t xml:space="preserve">US Large Cap Equity</t>
  </si>
  <si>
    <t xml:space="preserve">US Small/Mid Cap Equity</t>
  </si>
  <si>
    <t xml:space="preserve">International Equity</t>
  </si>
  <si>
    <t xml:space="preserve">Bonds / Fixed Income</t>
  </si>
  <si>
    <t xml:space="preserve">Cash</t>
  </si>
  <si>
    <t xml:space="preserve">Total</t>
  </si>
  <si>
    <t xml:space="preserve">REBALANCING ACTIONS</t>
  </si>
  <si>
    <t xml:space="preserve">Difference</t>
  </si>
  <si>
    <t xml:space="preserve">Action</t>
  </si>
  <si>
    <t xml:space="preserve">RECOMMENDED ETF PORTFOLIO (BASE CASE — 80/20)</t>
  </si>
  <si>
    <t xml:space="preserve">Ticker</t>
  </si>
  <si>
    <t xml:space="preserve">Expense Ratio</t>
  </si>
  <si>
    <t xml:space="preserve">Allocation</t>
  </si>
  <si>
    <t xml:space="preserve">US Total Stock Market</t>
  </si>
  <si>
    <t xml:space="preserve">VTI</t>
  </si>
  <si>
    <t xml:space="preserve">US Large Cap Value</t>
  </si>
  <si>
    <t xml:space="preserve">VTV</t>
  </si>
  <si>
    <t xml:space="preserve">International Developed</t>
  </si>
  <si>
    <t xml:space="preserve">VEA</t>
  </si>
  <si>
    <t xml:space="preserve">Emerging Markets</t>
  </si>
  <si>
    <t xml:space="preserve">VWO</t>
  </si>
  <si>
    <t xml:space="preserve">Total Bond Market</t>
  </si>
  <si>
    <t xml:space="preserve">BND</t>
  </si>
  <si>
    <t xml:space="preserve">Short-Term Treasury</t>
  </si>
  <si>
    <t xml:space="preserve">VGSH</t>
  </si>
  <si>
    <t xml:space="preserve">Weighted Average Expense Ratio:</t>
  </si>
  <si>
    <t xml:space="preserve">(Industry average: ~0.45%)</t>
  </si>
  <si>
    <t xml:space="preserve">US Equity</t>
  </si>
  <si>
    <t xml:space="preserve">Intl Equity</t>
  </si>
  <si>
    <t xml:space="preserve">Bonds</t>
  </si>
  <si>
    <t xml:space="preserve">Insurance &amp; Risk Management Review</t>
  </si>
  <si>
    <t xml:space="preserve">Coverage gap analysis and recommendations</t>
  </si>
  <si>
    <t xml:space="preserve">CURRENT COVERAGE</t>
  </si>
  <si>
    <t xml:space="preserve">Coverage Type</t>
  </si>
  <si>
    <t xml:space="preserve">Insured</t>
  </si>
  <si>
    <t xml:space="preserve">Current Coverage</t>
  </si>
  <si>
    <t xml:space="preserve">Annual Premium</t>
  </si>
  <si>
    <t xml:space="preserve">Recommended</t>
  </si>
  <si>
    <t xml:space="preserve">Health Insurance</t>
  </si>
  <si>
    <t xml:space="preserve">Family</t>
  </si>
  <si>
    <t xml:space="preserve">Through employer</t>
  </si>
  <si>
    <t xml:space="preserve">Adequate (employer plan)</t>
  </si>
  <si>
    <t xml:space="preserve">Term Life — Sarah</t>
  </si>
  <si>
    <t xml:space="preserve">$750,000, 20-year term</t>
  </si>
  <si>
    <t xml:space="preserve">Term Life — Michael</t>
  </si>
  <si>
    <t xml:space="preserve">$500,000, 20-year term</t>
  </si>
  <si>
    <t xml:space="preserve">Disability — Sarah</t>
  </si>
  <si>
    <t xml:space="preserve">Own-occupation DI + business overhead</t>
  </si>
  <si>
    <t xml:space="preserve">Disability — Michael</t>
  </si>
  <si>
    <t xml:space="preserve">Employer LTD</t>
  </si>
  <si>
    <t xml:space="preserve">Supplemental DI</t>
  </si>
  <si>
    <t xml:space="preserve">Auto Insurance</t>
  </si>
  <si>
    <t xml:space="preserve">Liability + Collision</t>
  </si>
  <si>
    <t xml:space="preserve">Increase liability limits</t>
  </si>
  <si>
    <t xml:space="preserve">Home Insurance</t>
  </si>
  <si>
    <t xml:space="preserve">Standard HO-3</t>
  </si>
  <si>
    <t xml:space="preserve">Add scheduled personal property</t>
  </si>
  <si>
    <t xml:space="preserve">Umbrella Liability</t>
  </si>
  <si>
    <t xml:space="preserve">$2M umbrella policy</t>
  </si>
  <si>
    <t xml:space="preserve">Business Liability</t>
  </si>
  <si>
    <t xml:space="preserve">$1M general liability</t>
  </si>
  <si>
    <t xml:space="preserve">Increase to $2M + add E&amp;O</t>
  </si>
  <si>
    <t xml:space="preserve">Key Person Life</t>
  </si>
  <si>
    <t xml:space="preserve">$250,000 on Sarah</t>
  </si>
  <si>
    <t xml:space="preserve">Total Annual Premium</t>
  </si>
  <si>
    <t xml:space="preserve">LIFE INSURANCE NEEDS ANALYSIS</t>
  </si>
  <si>
    <t xml:space="preserve">Needs Method</t>
  </si>
  <si>
    <t xml:space="preserve">Total Need</t>
  </si>
  <si>
    <t xml:space="preserve">Income replacement (10x annual)</t>
  </si>
  <si>
    <t xml:space="preserve">Debt payoff</t>
  </si>
  <si>
    <t xml:space="preserve">Children's education fund</t>
  </si>
  <si>
    <t xml:space="preserve">Final expenses</t>
  </si>
  <si>
    <t xml:space="preserve">Total Life Insurance Need</t>
  </si>
  <si>
    <t xml:space="preserve">INSURANCE RECOMMENDATIONS</t>
  </si>
  <si>
    <t xml:space="preserve">1. Purchase $1,250,000 20-year term life on Sarah (est. $60-75/month)</t>
  </si>
  <si>
    <t xml:space="preserve">2. Purchase $750,000 20-year term life on Michael (est. $40-50/month)</t>
  </si>
  <si>
    <t xml:space="preserve">3. Obtain own-occupation disability insurance for Sarah ($4,000/mo benefit, est. $100-150/month)</t>
  </si>
  <si>
    <t xml:space="preserve">4. Add business overhead expense policy ($3,000/mo, est. $60-80/month)</t>
  </si>
  <si>
    <t xml:space="preserve">5. Purchase $2M personal umbrella liability policy (est. $250-350/year)</t>
  </si>
  <si>
    <t xml:space="preserve">6. Increase business liability to $2M and add professional liability coverage</t>
  </si>
  <si>
    <t xml:space="preserve">7. Purchase $250,000 key-person life insurance on Sarah (business-owned)</t>
  </si>
  <si>
    <t xml:space="preserve">8. Review health insurance HDHP/HSA eligibility for additional tax savings</t>
  </si>
  <si>
    <t xml:space="preserve">Tax Planning &amp; Retirement Plan Analysis</t>
  </si>
  <si>
    <t xml:space="preserve">Business owner-specific strategies</t>
  </si>
  <si>
    <t xml:space="preserve">RETIREMENT PLAN OPTIONS FOR BUSINESS OWNER</t>
  </si>
  <si>
    <t xml:space="preserve">Feature</t>
  </si>
  <si>
    <t xml:space="preserve">SEP IRA</t>
  </si>
  <si>
    <t xml:space="preserve">SIMPLE IRA</t>
  </si>
  <si>
    <t xml:space="preserve">Solo 401(k)</t>
  </si>
  <si>
    <t xml:space="preserve">Contribution limit (2026)</t>
  </si>
  <si>
    <t xml:space="preserve">$69,000</t>
  </si>
  <si>
    <t xml:space="preserve">$16,000</t>
  </si>
  <si>
    <t xml:space="preserve">Employer contribution</t>
  </si>
  <si>
    <t xml:space="preserve">25% of comp</t>
  </si>
  <si>
    <t xml:space="preserve">3% match</t>
  </si>
  <si>
    <t xml:space="preserve">Employee contribution</t>
  </si>
  <si>
    <t xml:space="preserve">N/A</t>
  </si>
  <si>
    <t xml:space="preserve">$23,000</t>
  </si>
  <si>
    <t xml:space="preserve">Employees required to cover</t>
  </si>
  <si>
    <t xml:space="preserve">Yes (all eligible)</t>
  </si>
  <si>
    <t xml:space="preserve">No employees</t>
  </si>
  <si>
    <t xml:space="preserve">Setup complexity</t>
  </si>
  <si>
    <t xml:space="preserve">Annual admin cost</t>
  </si>
  <si>
    <t xml:space="preserve">$0</t>
  </si>
  <si>
    <t xml:space="preserve">$500-1,000</t>
  </si>
  <si>
    <t xml:space="preserve">Loan provision</t>
  </si>
  <si>
    <t xml:space="preserve">Roth option</t>
  </si>
  <si>
    <t xml:space="preserve">Yes (limited)</t>
  </si>
  <si>
    <t xml:space="preserve">Best for</t>
  </si>
  <si>
    <t xml:space="preserve">Simple, flexible</t>
  </si>
  <si>
    <t xml:space="preserve">Small team</t>
  </si>
  <si>
    <t xml:space="preserve">RECOMMENDATION: SEP IRA</t>
  </si>
  <si>
    <t xml:space="preserve">Given that East Texas Landscaping &amp; Design LLC has 2 part-time employees, a SEP IRA is the recommended retirement plan. It allows Sarah to contribute up to 25% of her compensation (up to $69,000 for 2026), requires minimal administrative work, and contributions for employees are proportional and straightforward. Note: SEP IRA requires contributions for all eligible employees (age 21+, employed 3 of last 5 years, earning $750+). A Solo 401(k) is not ideal because the business has non-owner employees. The SEP IRA also provides immediate tax deductions and flexibility to adjust contributions based on business performance. Figures are illustrative; consult a tax professional for current IRS limits and eligibility rules.</t>
  </si>
  <si>
    <t xml:space="preserve">ANNUAL TAX PROJECTION (CURRENT)</t>
  </si>
  <si>
    <t xml:space="preserve">Tax Item</t>
  </si>
  <si>
    <t xml:space="preserve">Business net income (Sch. C)</t>
  </si>
  <si>
    <t xml:space="preserve">Revenue $450K - Expenses $310K</t>
  </si>
  <si>
    <t xml:space="preserve">Michael's W-2 income</t>
  </si>
  <si>
    <t xml:space="preserve">Teacher salary</t>
  </si>
  <si>
    <t xml:space="preserve">Total gross income</t>
  </si>
  <si>
    <t xml:space="preserve">Before deductions</t>
  </si>
  <si>
    <t xml:space="preserve">1/2 SE tax deduction</t>
  </si>
  <si>
    <t xml:space="preserve">Deductible portion of SE tax</t>
  </si>
  <si>
    <t xml:space="preserve">SEP IRA contribution (recommended)</t>
  </si>
  <si>
    <t xml:space="preserve">25% of $90K reasonable comp</t>
  </si>
  <si>
    <t xml:space="preserve">$300/month</t>
  </si>
  <si>
    <t xml:space="preserve">Adjusted Gross Income (AGI)</t>
  </si>
  <si>
    <t xml:space="preserve">After above-the-line deductions</t>
  </si>
  <si>
    <t xml:space="preserve">Standard deduction (MFJ)</t>
  </si>
  <si>
    <t xml:space="preserve">2026 estimate</t>
  </si>
  <si>
    <t xml:space="preserve">Taxable income</t>
  </si>
  <si>
    <t xml:space="preserve">Federal taxable income</t>
  </si>
  <si>
    <t xml:space="preserve">Federal income tax (est.)</t>
  </si>
  <si>
    <t xml:space="preserve">24% bracket effective ~18%</t>
  </si>
  <si>
    <t xml:space="preserve">Self-employment tax</t>
  </si>
  <si>
    <t xml:space="preserve">Social Security + Medicare</t>
  </si>
  <si>
    <t xml:space="preserve">Total estimated tax</t>
  </si>
  <si>
    <t xml:space="preserve">Federal + SE tax</t>
  </si>
  <si>
    <t xml:space="preserve">Effective tax rate</t>
  </si>
  <si>
    <t xml:space="preserve">Overall tax burden</t>
  </si>
  <si>
    <t xml:space="preserve">TAX SAVINGS FROM SEP IRA CONTRIBUTION</t>
  </si>
  <si>
    <t xml:space="preserve">SEP IRA contribution</t>
  </si>
  <si>
    <t xml:space="preserve">From tax projection above</t>
  </si>
  <si>
    <t xml:space="preserve">Tax deduction value (24% bracket)</t>
  </si>
  <si>
    <t xml:space="preserve">Federal tax savings</t>
  </si>
  <si>
    <t xml:space="preserve">SE tax savings</t>
  </si>
  <si>
    <t xml:space="preserve">Reduction in SE taxable income</t>
  </si>
  <si>
    <t xml:space="preserve">Total first-year tax savings</t>
  </si>
  <si>
    <t xml:space="preserve">Combined federal + SE savings</t>
  </si>
  <si>
    <t xml:space="preserve">After-tax cost of $22,500 contribution</t>
  </si>
  <si>
    <t xml:space="preserve">Net cost after tax savings</t>
  </si>
  <si>
    <t xml:space="preserve">ADDITIONAL TAX STRATEGIES</t>
  </si>
  <si>
    <t xml:space="preserve">1. Implement quarterly estimated tax payments to avoid underpayment penalties</t>
  </si>
  <si>
    <t xml:space="preserve">2. Explore S-Corp election: may reduce SE tax by $8,000-12,000/year if reasonable comp &lt; $140K</t>
  </si>
  <si>
    <t xml:space="preserve">3. Establish HSA with high-deductible health plan (if eligible through Michael's employer)</t>
  </si>
  <si>
    <t xml:space="preserve">4. Track business mileage for deduction (standard mileage rate: $0.70/mile for 2026 est.)</t>
  </si>
  <si>
    <t xml:space="preserve">5. Consider Section 179 expensing for equipment purchases (up to $1.16M for 2026)</t>
  </si>
  <si>
    <t xml:space="preserve">6. Home office deduction if Sarah has dedicated home office space for business</t>
  </si>
  <si>
    <t xml:space="preserve">7. Maintain separate business checking account for clean audit trail</t>
  </si>
  <si>
    <t xml:space="preserve">8. Document all business meals (50% deductible) and professional development expenses</t>
  </si>
  <si>
    <t xml:space="preserve">Action Plan &amp; Implementation Timeline</t>
  </si>
  <si>
    <t xml:space="preserve">Prioritized next steps for the Mitchell household</t>
  </si>
  <si>
    <t xml:space="preserve">Action Item</t>
  </si>
  <si>
    <t xml:space="preserve">Expected Impact</t>
  </si>
  <si>
    <t xml:space="preserve">Open SEP IRA account and make initial $22,500 contribution</t>
  </si>
  <si>
    <t xml:space="preserve">Retirement</t>
  </si>
  <si>
    <t xml:space="preserve">Tax savings ~$7,200; retirement funding on track</t>
  </si>
  <si>
    <t xml:space="preserve">Increase emergency fund contribution to $2,000/month</t>
  </si>
  <si>
    <t xml:space="preserve">Liquidity</t>
  </si>
  <si>
    <t xml:space="preserve">0-3 months</t>
  </si>
  <si>
    <t xml:space="preserve">6-month fund reached in 15 months</t>
  </si>
  <si>
    <t xml:space="preserve">Allocate $1,500/month to credit card debt paydown</t>
  </si>
  <si>
    <t xml:space="preserve">Eliminate $8,500 CC debt in ~6 months</t>
  </si>
  <si>
    <t xml:space="preserve">Apply for $1,250,000 term life insurance on Sarah</t>
  </si>
  <si>
    <t xml:space="preserve">Insurance</t>
  </si>
  <si>
    <t xml:space="preserve">Close $1.25M life insurance gap</t>
  </si>
  <si>
    <t xml:space="preserve">Apply for $750,000 term life insurance on Michael</t>
  </si>
  <si>
    <t xml:space="preserve">Ensure spouse income replacement</t>
  </si>
  <si>
    <t xml:space="preserve">Obtain disability insurance quotes (own-occupation)</t>
  </si>
  <si>
    <t xml:space="preserve">3-6 months</t>
  </si>
  <si>
    <t xml:space="preserve">Protect $100K+ annual income</t>
  </si>
  <si>
    <t xml:space="preserve">Open 529 plans for both children</t>
  </si>
  <si>
    <t xml:space="preserve">College</t>
  </si>
  <si>
    <t xml:space="preserve">Tax-advantaged college savings</t>
  </si>
  <si>
    <t xml:space="preserve">Rebalance IRA to 80/20 target allocation</t>
  </si>
  <si>
    <t xml:space="preserve">Investments</t>
  </si>
  <si>
    <t xml:space="preserve">Align risk with time horizon</t>
  </si>
  <si>
    <t xml:space="preserve">Purchase $2M personal umbrella liability policy</t>
  </si>
  <si>
    <t xml:space="preserve">Protect assets from lawsuits</t>
  </si>
  <si>
    <t xml:space="preserve">Implement quarterly tax payment system</t>
  </si>
  <si>
    <t xml:space="preserve">Tax</t>
  </si>
  <si>
    <t xml:space="preserve">Avoid underpayment penalties</t>
  </si>
  <si>
    <t xml:space="preserve">Consult CPA about S-Corp election</t>
  </si>
  <si>
    <t xml:space="preserve">Potential SE tax savings $8K-12K/yr</t>
  </si>
  <si>
    <t xml:space="preserve">Develop business succession/exit plan</t>
  </si>
  <si>
    <t xml:space="preserve">12-24 months</t>
  </si>
  <si>
    <t xml:space="preserve">Ensure business continuity</t>
  </si>
  <si>
    <t xml:space="preserve">Purchase key-person life insurance ($250K)</t>
  </si>
  <si>
    <t xml:space="preserve">Protect business from loss of owner</t>
  </si>
  <si>
    <t xml:space="preserve">Review and update estate planning documents</t>
  </si>
  <si>
    <t xml:space="preserve">Estate</t>
  </si>
  <si>
    <t xml:space="preserve">Ensure proper asset distribution</t>
  </si>
  <si>
    <t xml:space="preserve">Evaluate HSA eligibility through HDHP</t>
  </si>
  <si>
    <t xml:space="preserve">Additional tax-advantaged savings</t>
  </si>
  <si>
    <t xml:space="preserve">SUMMARY</t>
  </si>
  <si>
    <t xml:space="preserve">Critical actions (0-3 months): SEP IRA setup, emergency fund boost, CC debt paydown, life insurance</t>
  </si>
  <si>
    <t xml:space="preserve">High priority (3-12 months): Disability insurance, quarterly tax system, 529 plans, IRA rebalancing</t>
  </si>
  <si>
    <t xml:space="preserve">Medium term (12-24 months): S-Corp evaluation, succession planning, estate documents, key-person insurance</t>
  </si>
  <si>
    <t xml:space="preserve">Expected outcomes: $25K/yr retirement savings, 6-month emergency fund, $1.25M life insurance coverage, ~$7K tax savings in year 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</si>
</sst>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"/>
    <numFmt numFmtId="167" formatCode="#,##0"/>
    <numFmt numFmtId="168" formatCode="0.0\x"/>
    <numFmt numFmtId="169" formatCode="0.0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9"/>
      <color rgb="FF7A7974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A12C7B"/>
      <name val="Calibri"/>
      <family val="0"/>
      <charset val="1"/>
    </font>
    <font>
      <b val="true"/>
      <sz val="11"/>
      <color rgb="FF964219"/>
      <name val="Calibri"/>
      <family val="0"/>
      <charset val="1"/>
    </font>
    <font>
      <b val="true"/>
      <sz val="11"/>
      <color rgb="FF437A22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F3864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F2F2F2"/>
        <bgColor rgb="FFEDF2F7"/>
      </patternFill>
    </fill>
    <fill>
      <patternFill patternType="solid">
        <fgColor rgb="FFEDF2F7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9BBB59"/>
      <rgbColor rgb="FF878787"/>
      <rgbColor rgb="FF8064A2"/>
      <rgbColor rgb="FFA12C7B"/>
      <rgbColor rgb="FFF2F2F2"/>
      <rgbColor rgb="FFEDF2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8B855"/>
      <rgbColor rgb="FFFFCC00"/>
      <rgbColor rgb="FFF79646"/>
      <rgbColor rgb="FFC0504D"/>
      <rgbColor rgb="FF7D5FA0"/>
      <rgbColor rgb="FF7A7974"/>
      <rgbColor rgb="FF1F3864"/>
      <rgbColor rgb="FF437A22"/>
      <rgbColor rgb="FF003300"/>
      <rgbColor rgb="FF333300"/>
      <rgbColor rgb="FF964219"/>
      <rgbColor rgb="FFBE4B48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Income vs. Expenses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'4. Cash Flow'!C51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Cash Flow'!$B$52:$B$55</c:f>
              <c:strCache>
                <c:ptCount val="4"/>
                <c:pt idx="0">
                  <c:v>Income</c:v>
                </c:pt>
                <c:pt idx="1">
                  <c:v>Expenses</c:v>
                </c:pt>
                <c:pt idx="2">
                  <c:v>Net Cash Flow</c:v>
                </c:pt>
                <c:pt idx="3">
                  <c:v>Savings</c:v>
                </c:pt>
              </c:strCache>
            </c:strRef>
          </c:cat>
          <c:val>
            <c:numRef>
              <c:f>'4. Cash Flow'!$C$52:$C$55</c:f>
              <c:numCache>
                <c:formatCode>\$#,##0;"($"#,##0\);\-</c:formatCode>
                <c:ptCount val="4"/>
                <c:pt idx="0">
                  <c:v>13500</c:v>
                </c:pt>
                <c:pt idx="1">
                  <c:v>7565</c:v>
                </c:pt>
                <c:pt idx="2">
                  <c:v>5935</c:v>
                </c:pt>
                <c:pt idx="3">
                  <c:v>800</c:v>
                </c:pt>
              </c:numCache>
            </c:numRef>
          </c:val>
        </c:ser>
        <c:gapWidth val="150"/>
        <c:overlap val="0"/>
        <c:axId val="85311997"/>
        <c:axId val="38915016"/>
      </c:barChart>
      <c:catAx>
        <c:axId val="853119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915016"/>
        <c:crosses val="autoZero"/>
        <c:auto val="1"/>
        <c:lblAlgn val="ctr"/>
        <c:lblOffset val="100"/>
        <c:noMultiLvlLbl val="0"/>
      </c:catAx>
      <c:valAx>
        <c:axId val="389150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31199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Asset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'5. Net Worth'!C38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'5. Net Worth'!$B$39:$B$44</c:f>
              <c:strCache>
                <c:ptCount val="6"/>
                <c:pt idx="0">
                  <c:v>Cash &amp; Savings</c:v>
                </c:pt>
                <c:pt idx="1">
                  <c:v>Retirement Accounts</c:v>
                </c:pt>
                <c:pt idx="2">
                  <c:v>Home</c:v>
                </c:pt>
                <c:pt idx="3">
                  <c:v>Business Assets</c:v>
                </c:pt>
                <c:pt idx="4">
                  <c:v>Vehicles</c:v>
                </c:pt>
                <c:pt idx="5">
                  <c:v>529 Plans</c:v>
                </c:pt>
              </c:strCache>
            </c:strRef>
          </c:cat>
          <c:val>
            <c:numRef>
              <c:f>'5. Net Worth'!$C$39:$C$44</c:f>
              <c:numCache>
                <c:formatCode>\$#,##0;"($"#,##0\);\-</c:formatCode>
                <c:ptCount val="6"/>
                <c:pt idx="0">
                  <c:v>20000</c:v>
                </c:pt>
                <c:pt idx="1">
                  <c:v>120000</c:v>
                </c:pt>
                <c:pt idx="2">
                  <c:v>380000</c:v>
                </c:pt>
                <c:pt idx="3">
                  <c:v>120000</c:v>
                </c:pt>
                <c:pt idx="4">
                  <c:v>35000</c:v>
                </c:pt>
                <c:pt idx="5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Debt Balances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'6. Debt &amp; Liquidity'!C6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Debt &amp; Liquidity'!$B$7:$B$11</c:f>
              <c:strCache>
                <c:ptCount val="5"/>
                <c:pt idx="0">
                  <c:v>Credit cards</c:v>
                </c:pt>
                <c:pt idx="1">
                  <c:v>Auto loan 2</c:v>
                </c:pt>
                <c:pt idx="2">
                  <c:v>Auto loan 1</c:v>
                </c:pt>
                <c:pt idx="3">
                  <c:v>Equipment loan</c:v>
                </c:pt>
                <c:pt idx="4">
                  <c:v>Mortgage</c:v>
                </c:pt>
              </c:strCache>
            </c:strRef>
          </c:cat>
          <c:val>
            <c:numRef>
              <c:f>'6. Debt &amp; Liquidity'!$C$7:$C$11</c:f>
              <c:numCache>
                <c:formatCode>\$#,##0;"($"#,##0\);\-</c:formatCode>
                <c:ptCount val="5"/>
                <c:pt idx="0">
                  <c:v>8500</c:v>
                </c:pt>
                <c:pt idx="1">
                  <c:v>12000</c:v>
                </c:pt>
                <c:pt idx="2">
                  <c:v>18000</c:v>
                </c:pt>
                <c:pt idx="3">
                  <c:v>28000</c:v>
                </c:pt>
                <c:pt idx="4">
                  <c:v>285000</c:v>
                </c:pt>
              </c:numCache>
            </c:numRef>
          </c:val>
        </c:ser>
        <c:gapWidth val="150"/>
        <c:overlap val="0"/>
        <c:axId val="87911624"/>
        <c:axId val="77114153"/>
      </c:barChart>
      <c:catAx>
        <c:axId val="87911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114153"/>
        <c:crosses val="autoZero"/>
        <c:auto val="1"/>
        <c:lblAlgn val="ctr"/>
        <c:lblOffset val="100"/>
        <c:noMultiLvlLbl val="0"/>
      </c:catAx>
      <c:valAx>
        <c:axId val="771141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9116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Retirement Balance Projection (Age 38-67)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'7. Retirement'!D22</c:f>
              <c:strCache>
                <c:ptCount val="1"/>
                <c:pt idx="0">
                  <c:v>Conservative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 Retirement'!$B$23:$B$52</c:f>
              <c:strCach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strCache>
            </c:strRef>
          </c:cat>
          <c:val>
            <c:numRef>
              <c:f>'7. Retirement'!$D$23:$D$52</c:f>
              <c:numCache>
                <c:formatCode>\$#,##0;"($"#,##0\);\-</c:formatCode>
                <c:ptCount val="30"/>
                <c:pt idx="0">
                  <c:v>120000</c:v>
                </c:pt>
                <c:pt idx="1">
                  <c:v>151000</c:v>
                </c:pt>
                <c:pt idx="2">
                  <c:v>183550</c:v>
                </c:pt>
                <c:pt idx="3">
                  <c:v>217727.5</c:v>
                </c:pt>
                <c:pt idx="4">
                  <c:v>253613.875</c:v>
                </c:pt>
                <c:pt idx="5">
                  <c:v>291294.56875</c:v>
                </c:pt>
                <c:pt idx="6">
                  <c:v>330859.2971875</c:v>
                </c:pt>
                <c:pt idx="7">
                  <c:v>372402.262046875</c:v>
                </c:pt>
                <c:pt idx="8">
                  <c:v>416022.375149219</c:v>
                </c:pt>
                <c:pt idx="9">
                  <c:v>461823.49390668</c:v>
                </c:pt>
                <c:pt idx="10">
                  <c:v>509914.668602014</c:v>
                </c:pt>
                <c:pt idx="11">
                  <c:v>560410.402032114</c:v>
                </c:pt>
                <c:pt idx="12">
                  <c:v>613430.92213372</c:v>
                </c:pt>
                <c:pt idx="13">
                  <c:v>669102.468240406</c:v>
                </c:pt>
                <c:pt idx="14">
                  <c:v>727557.591652427</c:v>
                </c:pt>
                <c:pt idx="15">
                  <c:v>788935.471235048</c:v>
                </c:pt>
                <c:pt idx="16">
                  <c:v>853382.2447968</c:v>
                </c:pt>
                <c:pt idx="17">
                  <c:v>921051.357036641</c:v>
                </c:pt>
                <c:pt idx="18">
                  <c:v>992103.924888473</c:v>
                </c:pt>
                <c:pt idx="19">
                  <c:v>1066709.1211329</c:v>
                </c:pt>
                <c:pt idx="20">
                  <c:v>1145044.57718954</c:v>
                </c:pt>
                <c:pt idx="21">
                  <c:v>1227296.80604902</c:v>
                </c:pt>
                <c:pt idx="22">
                  <c:v>1313661.64635147</c:v>
                </c:pt>
                <c:pt idx="23">
                  <c:v>1404344.72866904</c:v>
                </c:pt>
                <c:pt idx="24">
                  <c:v>1499561.9651025</c:v>
                </c:pt>
                <c:pt idx="25">
                  <c:v>1599540.06335762</c:v>
                </c:pt>
                <c:pt idx="26">
                  <c:v>1704517.0665255</c:v>
                </c:pt>
                <c:pt idx="27">
                  <c:v>1814742.91985178</c:v>
                </c:pt>
                <c:pt idx="28">
                  <c:v>1930480.06584437</c:v>
                </c:pt>
                <c:pt idx="29">
                  <c:v>2052004.06913658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'7. Retirement'!E22</c:f>
              <c:strCache>
                <c:ptCount val="1"/>
                <c:pt idx="0">
                  <c:v>Base Case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 Retirement'!$B$23:$B$52</c:f>
              <c:strCach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strCache>
            </c:strRef>
          </c:cat>
          <c:val>
            <c:numRef>
              <c:f>'7. Retirement'!$E$23:$E$52</c:f>
              <c:numCache>
                <c:formatCode>\$#,##0;"($"#,##0\);\-</c:formatCode>
                <c:ptCount val="30"/>
                <c:pt idx="0">
                  <c:v>120000</c:v>
                </c:pt>
                <c:pt idx="1">
                  <c:v>153400</c:v>
                </c:pt>
                <c:pt idx="2">
                  <c:v>189138</c:v>
                </c:pt>
                <c:pt idx="3">
                  <c:v>227377.66</c:v>
                </c:pt>
                <c:pt idx="4">
                  <c:v>268294.0962</c:v>
                </c:pt>
                <c:pt idx="5">
                  <c:v>312074.682934</c:v>
                </c:pt>
                <c:pt idx="6">
                  <c:v>358919.91073938</c:v>
                </c:pt>
                <c:pt idx="7">
                  <c:v>409044.304491137</c:v>
                </c:pt>
                <c:pt idx="8">
                  <c:v>462677.405805516</c:v>
                </c:pt>
                <c:pt idx="9">
                  <c:v>520064.824211902</c:v>
                </c:pt>
                <c:pt idx="10">
                  <c:v>581469.361906736</c:v>
                </c:pt>
                <c:pt idx="11">
                  <c:v>647172.217240207</c:v>
                </c:pt>
                <c:pt idx="12">
                  <c:v>717474.272447022</c:v>
                </c:pt>
                <c:pt idx="13">
                  <c:v>792697.471518313</c:v>
                </c:pt>
                <c:pt idx="14">
                  <c:v>873186.294524595</c:v>
                </c:pt>
                <c:pt idx="15">
                  <c:v>959309.335141317</c:v>
                </c:pt>
                <c:pt idx="16">
                  <c:v>1051460.98860121</c:v>
                </c:pt>
                <c:pt idx="17">
                  <c:v>1150063.25780329</c:v>
                </c:pt>
                <c:pt idx="18">
                  <c:v>1255567.68584952</c:v>
                </c:pt>
                <c:pt idx="19">
                  <c:v>1368457.42385899</c:v>
                </c:pt>
                <c:pt idx="20">
                  <c:v>1489249.44352912</c:v>
                </c:pt>
                <c:pt idx="21">
                  <c:v>1618496.90457616</c:v>
                </c:pt>
                <c:pt idx="22">
                  <c:v>1756791.68789649</c:v>
                </c:pt>
                <c:pt idx="23">
                  <c:v>1904767.10604925</c:v>
                </c:pt>
                <c:pt idx="24">
                  <c:v>2063100.80347269</c:v>
                </c:pt>
                <c:pt idx="25">
                  <c:v>2232517.85971578</c:v>
                </c:pt>
                <c:pt idx="26">
                  <c:v>2413794.10989589</c:v>
                </c:pt>
                <c:pt idx="27">
                  <c:v>2607759.6975886</c:v>
                </c:pt>
                <c:pt idx="28">
                  <c:v>2815302.8764198</c:v>
                </c:pt>
                <c:pt idx="29">
                  <c:v>3037374.07776919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'7. Retirement'!F22</c:f>
              <c:strCache>
                <c:ptCount val="1"/>
                <c:pt idx="0">
                  <c:v>Optimistic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 Retirement'!$B$23:$B$52</c:f>
              <c:strCach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strCache>
            </c:strRef>
          </c:cat>
          <c:val>
            <c:numRef>
              <c:f>'7. Retirement'!$F$23:$F$52</c:f>
              <c:numCache>
                <c:formatCode>\$#,##0;"($"#,##0\);\-</c:formatCode>
                <c:ptCount val="30"/>
                <c:pt idx="0">
                  <c:v>120000</c:v>
                </c:pt>
                <c:pt idx="1">
                  <c:v>155800</c:v>
                </c:pt>
                <c:pt idx="2">
                  <c:v>194822</c:v>
                </c:pt>
                <c:pt idx="3">
                  <c:v>237355.98</c:v>
                </c:pt>
                <c:pt idx="4">
                  <c:v>283718.0182</c:v>
                </c:pt>
                <c:pt idx="5">
                  <c:v>334252.639838</c:v>
                </c:pt>
                <c:pt idx="6">
                  <c:v>389335.37742342</c:v>
                </c:pt>
                <c:pt idx="7">
                  <c:v>449375.561391528</c:v>
                </c:pt>
                <c:pt idx="8">
                  <c:v>514819.361916766</c:v>
                </c:pt>
                <c:pt idx="9">
                  <c:v>586153.104489274</c:v>
                </c:pt>
                <c:pt idx="10">
                  <c:v>663906.883893309</c:v>
                </c:pt>
                <c:pt idx="11">
                  <c:v>748658.503443707</c:v>
                </c:pt>
                <c:pt idx="12">
                  <c:v>841037.768753641</c:v>
                </c:pt>
                <c:pt idx="13">
                  <c:v>941731.167941468</c:v>
                </c:pt>
                <c:pt idx="14">
                  <c:v>1051486.9730562</c:v>
                </c:pt>
                <c:pt idx="15">
                  <c:v>1171120.80063126</c:v>
                </c:pt>
                <c:pt idx="16">
                  <c:v>1301521.67268807</c:v>
                </c:pt>
                <c:pt idx="17">
                  <c:v>1443658.62323</c:v>
                </c:pt>
                <c:pt idx="18">
                  <c:v>1598587.8993207</c:v>
                </c:pt>
                <c:pt idx="19">
                  <c:v>1767460.81025956</c:v>
                </c:pt>
                <c:pt idx="20">
                  <c:v>1951532.28318292</c:v>
                </c:pt>
                <c:pt idx="21">
                  <c:v>2152170.18866939</c:v>
                </c:pt>
                <c:pt idx="22">
                  <c:v>2370865.50564963</c:v>
                </c:pt>
                <c:pt idx="23">
                  <c:v>2609243.4011581</c:v>
                </c:pt>
                <c:pt idx="24">
                  <c:v>2869075.30726233</c:v>
                </c:pt>
                <c:pt idx="25">
                  <c:v>3152292.08491594</c:v>
                </c:pt>
                <c:pt idx="26">
                  <c:v>3460998.37255837</c:v>
                </c:pt>
                <c:pt idx="27">
                  <c:v>3797488.22608862</c:v>
                </c:pt>
                <c:pt idx="28">
                  <c:v>4164262.1664366</c:v>
                </c:pt>
                <c:pt idx="29">
                  <c:v>4564045.7614159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'7. Retirement'!G22</c:f>
              <c:strCache>
                <c:ptCount val="1"/>
                <c:pt idx="0">
                  <c:v>Current Path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 Retirement'!$B$23:$B$52</c:f>
              <c:strCach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strCache>
            </c:strRef>
          </c:cat>
          <c:val>
            <c:numRef>
              <c:f>'7. Retirement'!$G$23:$G$52</c:f>
              <c:numCache>
                <c:formatCode>\$#,##0;"($"#,##0\);\-</c:formatCode>
                <c:ptCount val="30"/>
                <c:pt idx="0">
                  <c:v>120000</c:v>
                </c:pt>
                <c:pt idx="1">
                  <c:v>133800</c:v>
                </c:pt>
                <c:pt idx="2">
                  <c:v>148566</c:v>
                </c:pt>
                <c:pt idx="3">
                  <c:v>164365.62</c:v>
                </c:pt>
                <c:pt idx="4">
                  <c:v>181271.2134</c:v>
                </c:pt>
                <c:pt idx="5">
                  <c:v>199360.198338</c:v>
                </c:pt>
                <c:pt idx="6">
                  <c:v>218715.41222166</c:v>
                </c:pt>
                <c:pt idx="7">
                  <c:v>239425.491077176</c:v>
                </c:pt>
                <c:pt idx="8">
                  <c:v>261585.275452579</c:v>
                </c:pt>
                <c:pt idx="9">
                  <c:v>285296.244734259</c:v>
                </c:pt>
                <c:pt idx="10">
                  <c:v>310666.981865657</c:v>
                </c:pt>
                <c:pt idx="11">
                  <c:v>337813.670596253</c:v>
                </c:pt>
                <c:pt idx="12">
                  <c:v>366860.627537991</c:v>
                </c:pt>
                <c:pt idx="13">
                  <c:v>397940.87146565</c:v>
                </c:pt>
                <c:pt idx="14">
                  <c:v>431196.732468246</c:v>
                </c:pt>
                <c:pt idx="15">
                  <c:v>466780.503741023</c:v>
                </c:pt>
                <c:pt idx="16">
                  <c:v>504855.139002895</c:v>
                </c:pt>
                <c:pt idx="17">
                  <c:v>545594.998733098</c:v>
                </c:pt>
                <c:pt idx="18">
                  <c:v>589186.648644414</c:v>
                </c:pt>
                <c:pt idx="19">
                  <c:v>635829.714049524</c:v>
                </c:pt>
                <c:pt idx="20">
                  <c:v>685737.79403299</c:v>
                </c:pt>
                <c:pt idx="21">
                  <c:v>739139.4396153</c:v>
                </c:pt>
                <c:pt idx="22">
                  <c:v>796279.20038837</c:v>
                </c:pt>
                <c:pt idx="23">
                  <c:v>857418.744415556</c:v>
                </c:pt>
                <c:pt idx="24">
                  <c:v>922838.056524645</c:v>
                </c:pt>
                <c:pt idx="25">
                  <c:v>992836.720481371</c:v>
                </c:pt>
                <c:pt idx="26">
                  <c:v>1067735.29091507</c:v>
                </c:pt>
                <c:pt idx="27">
                  <c:v>1147876.76127912</c:v>
                </c:pt>
                <c:pt idx="28">
                  <c:v>1233628.13456866</c:v>
                </c:pt>
                <c:pt idx="29">
                  <c:v>1325382.10398847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457412"/>
        <c:axId val="35860893"/>
      </c:lineChart>
      <c:catAx>
        <c:axId val="664574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Years from Now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860893"/>
        <c:crosses val="autoZero"/>
        <c:auto val="1"/>
        <c:lblAlgn val="ctr"/>
        <c:lblOffset val="100"/>
        <c:noMultiLvlLbl val="0"/>
      </c:catAx>
      <c:valAx>
        <c:axId val="358608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Balance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45741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Current vs. Target Asset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'8. Portfolio'!C35</c:f>
              <c:strCache>
                <c:ptCount val="1"/>
                <c:pt idx="0">
                  <c:v>Current %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Portfolio'!$B$36:$B$39</c:f>
              <c:strCache>
                <c:ptCount val="4"/>
                <c:pt idx="0">
                  <c:v>US Equity</c:v>
                </c:pt>
                <c:pt idx="1">
                  <c:v>Intl Equity</c:v>
                </c:pt>
                <c:pt idx="2">
                  <c:v>Bonds</c:v>
                </c:pt>
                <c:pt idx="3">
                  <c:v>Cash</c:v>
                </c:pt>
              </c:strCache>
            </c:strRef>
          </c:cat>
          <c:val>
            <c:numRef>
              <c:f>'8. Portfolio'!$C$36:$C$39</c:f>
              <c:numCache>
                <c:formatCode>0.0%</c:formatCode>
                <c:ptCount val="4"/>
                <c:pt idx="0">
                  <c:v>0.5</c:v>
                </c:pt>
                <c:pt idx="1">
                  <c:v>0.0833333333333333</c:v>
                </c:pt>
                <c:pt idx="2">
                  <c:v>0.291666666666667</c:v>
                </c:pt>
                <c:pt idx="3">
                  <c:v>0.125</c:v>
                </c:pt>
              </c:numCache>
            </c:numRef>
          </c:val>
        </c:ser>
        <c:ser>
          <c:idx val="1"/>
          <c:order val="1"/>
          <c:tx>
            <c:strRef>
              <c:f>'8. Portfolio'!D35</c:f>
              <c:strCache>
                <c:ptCount val="1"/>
                <c:pt idx="0">
                  <c:v>Target %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Portfolio'!$B$36:$B$39</c:f>
              <c:strCache>
                <c:ptCount val="4"/>
                <c:pt idx="0">
                  <c:v>US Equity</c:v>
                </c:pt>
                <c:pt idx="1">
                  <c:v>Intl Equity</c:v>
                </c:pt>
                <c:pt idx="2">
                  <c:v>Bonds</c:v>
                </c:pt>
                <c:pt idx="3">
                  <c:v>Cash</c:v>
                </c:pt>
              </c:strCache>
            </c:strRef>
          </c:cat>
          <c:val>
            <c:numRef>
              <c:f>'8. Portfolio'!$D$36:$D$39</c:f>
              <c:numCache>
                <c:formatCode>0.0%</c:formatCode>
                <c:ptCount val="4"/>
                <c:pt idx="0">
                  <c:v>0.6</c:v>
                </c:pt>
                <c:pt idx="1">
                  <c:v>0.1</c:v>
                </c:pt>
                <c:pt idx="2">
                  <c:v>0.35</c:v>
                </c:pt>
                <c:pt idx="3">
                  <c:v>0.15</c:v>
                </c:pt>
              </c:numCache>
            </c:numRef>
          </c:val>
        </c:ser>
        <c:gapWidth val="150"/>
        <c:overlap val="0"/>
        <c:axId val="80938094"/>
        <c:axId val="75204095"/>
      </c:barChart>
      <c:catAx>
        <c:axId val="809380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Asset Class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204095"/>
        <c:crosses val="autoZero"/>
        <c:auto val="1"/>
        <c:lblAlgn val="ctr"/>
        <c:lblOffset val="100"/>
        <c:noMultiLvlLbl val="0"/>
      </c:catAx>
      <c:valAx>
        <c:axId val="752040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Allocation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93809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49</xdr:row>
      <xdr:rowOff>0</xdr:rowOff>
    </xdr:from>
    <xdr:to>
      <xdr:col>13</xdr:col>
      <xdr:colOff>554760</xdr:colOff>
      <xdr:row>67</xdr:row>
      <xdr:rowOff>170640</xdr:rowOff>
    </xdr:to>
    <xdr:graphicFrame>
      <xdr:nvGraphicFramePr>
        <xdr:cNvPr id="1" name="Chart 1"/>
        <xdr:cNvGraphicFramePr/>
      </xdr:nvGraphicFramePr>
      <xdr:xfrm>
        <a:off x="4581360" y="947880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36</xdr:row>
      <xdr:rowOff>0</xdr:rowOff>
    </xdr:from>
    <xdr:to>
      <xdr:col>12</xdr:col>
      <xdr:colOff>242640</xdr:colOff>
      <xdr:row>51</xdr:row>
      <xdr:rowOff>21960</xdr:rowOff>
    </xdr:to>
    <xdr:graphicFrame>
      <xdr:nvGraphicFramePr>
        <xdr:cNvPr id="2" name="Chart 1"/>
        <xdr:cNvGraphicFramePr/>
      </xdr:nvGraphicFramePr>
      <xdr:xfrm>
        <a:off x="5286240" y="70020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30</xdr:row>
      <xdr:rowOff>0</xdr:rowOff>
    </xdr:from>
    <xdr:to>
      <xdr:col>5</xdr:col>
      <xdr:colOff>105480</xdr:colOff>
      <xdr:row>45</xdr:row>
      <xdr:rowOff>22320</xdr:rowOff>
    </xdr:to>
    <xdr:graphicFrame>
      <xdr:nvGraphicFramePr>
        <xdr:cNvPr id="3" name="Chart 1"/>
        <xdr:cNvGraphicFramePr/>
      </xdr:nvGraphicFramePr>
      <xdr:xfrm>
        <a:off x="211320" y="58294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610200</xdr:colOff>
      <xdr:row>21</xdr:row>
      <xdr:rowOff>0</xdr:rowOff>
    </xdr:from>
    <xdr:to>
      <xdr:col>20</xdr:col>
      <xdr:colOff>363240</xdr:colOff>
      <xdr:row>39</xdr:row>
      <xdr:rowOff>170640</xdr:rowOff>
    </xdr:to>
    <xdr:graphicFrame>
      <xdr:nvGraphicFramePr>
        <xdr:cNvPr id="4" name="Chart 1"/>
        <xdr:cNvGraphicFramePr/>
      </xdr:nvGraphicFramePr>
      <xdr:xfrm>
        <a:off x="9702720" y="411480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33</xdr:row>
      <xdr:rowOff>0</xdr:rowOff>
    </xdr:from>
    <xdr:to>
      <xdr:col>13</xdr:col>
      <xdr:colOff>351360</xdr:colOff>
      <xdr:row>48</xdr:row>
      <xdr:rowOff>21960</xdr:rowOff>
    </xdr:to>
    <xdr:graphicFrame>
      <xdr:nvGraphicFramePr>
        <xdr:cNvPr id="5" name="Chart 1"/>
        <xdr:cNvGraphicFramePr/>
      </xdr:nvGraphicFramePr>
      <xdr:xfrm>
        <a:off x="5709240" y="64008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7" min="5" style="0" width="20"/>
    <col collapsed="false" customWidth="true" hidden="false" outlineLevel="0" max="8" min="8" style="0" width="15"/>
  </cols>
  <sheetData>
    <row r="2" customFormat="false" ht="24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30" hidden="false" customHeight="true" outlineLevel="0" collapsed="false">
      <c r="B5" s="3" t="s">
        <v>2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3"/>
      <c r="C6" s="3"/>
      <c r="D6" s="3"/>
      <c r="E6" s="3"/>
      <c r="F6" s="3"/>
      <c r="G6" s="3"/>
      <c r="H6" s="3"/>
    </row>
    <row r="8" customFormat="false" ht="15" hidden="false" customHeight="false" outlineLevel="0" collapsed="false">
      <c r="B8" s="4" t="s">
        <v>3</v>
      </c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B9" s="5" t="s">
        <v>4</v>
      </c>
      <c r="C9" s="6" t="s">
        <v>5</v>
      </c>
      <c r="D9" s="6"/>
      <c r="E9" s="6"/>
    </row>
    <row r="10" customFormat="false" ht="15" hidden="false" customHeight="false" outlineLevel="0" collapsed="false">
      <c r="B10" s="5" t="s">
        <v>6</v>
      </c>
      <c r="C10" s="6" t="s">
        <v>7</v>
      </c>
      <c r="D10" s="6"/>
      <c r="E10" s="6"/>
    </row>
    <row r="11" customFormat="false" ht="15" hidden="false" customHeight="false" outlineLevel="0" collapsed="false">
      <c r="B11" s="5" t="s">
        <v>8</v>
      </c>
      <c r="C11" s="6" t="s">
        <v>9</v>
      </c>
      <c r="D11" s="6"/>
      <c r="E11" s="6"/>
    </row>
    <row r="12" customFormat="false" ht="15" hidden="false" customHeight="false" outlineLevel="0" collapsed="false">
      <c r="B12" s="5" t="s">
        <v>10</v>
      </c>
      <c r="C12" s="6" t="s">
        <v>11</v>
      </c>
      <c r="D12" s="6"/>
      <c r="E12" s="6"/>
    </row>
    <row r="13" customFormat="false" ht="15" hidden="false" customHeight="false" outlineLevel="0" collapsed="false">
      <c r="B13" s="5" t="s">
        <v>12</v>
      </c>
      <c r="C13" s="6" t="s">
        <v>13</v>
      </c>
      <c r="D13" s="6"/>
      <c r="E13" s="6"/>
    </row>
    <row r="14" customFormat="false" ht="15" hidden="false" customHeight="false" outlineLevel="0" collapsed="false">
      <c r="B14" s="5" t="s">
        <v>14</v>
      </c>
      <c r="C14" s="6" t="s">
        <v>15</v>
      </c>
      <c r="D14" s="6"/>
      <c r="E14" s="6"/>
    </row>
    <row r="15" customFormat="false" ht="15" hidden="false" customHeight="false" outlineLevel="0" collapsed="false">
      <c r="B15" s="5" t="s">
        <v>16</v>
      </c>
      <c r="C15" s="6" t="s">
        <v>17</v>
      </c>
      <c r="D15" s="6"/>
      <c r="E15" s="6"/>
    </row>
    <row r="16" customFormat="false" ht="15" hidden="false" customHeight="false" outlineLevel="0" collapsed="false">
      <c r="B16" s="5" t="s">
        <v>18</v>
      </c>
      <c r="C16" s="6" t="s">
        <v>19</v>
      </c>
      <c r="D16" s="6"/>
      <c r="E16" s="6"/>
    </row>
    <row r="19" customFormat="false" ht="15" hidden="false" customHeight="false" outlineLevel="0" collapsed="false">
      <c r="B19" s="4" t="s">
        <v>20</v>
      </c>
      <c r="C19" s="4"/>
      <c r="D19" s="4"/>
      <c r="E19" s="4"/>
      <c r="F19" s="4"/>
      <c r="G19" s="4"/>
      <c r="H19" s="4"/>
    </row>
    <row r="20" customFormat="false" ht="19.5" hidden="false" customHeight="true" outlineLevel="0" collapsed="false">
      <c r="B20" s="7" t="s">
        <v>21</v>
      </c>
      <c r="C20" s="7" t="s">
        <v>22</v>
      </c>
      <c r="D20" s="7" t="s">
        <v>23</v>
      </c>
      <c r="E20" s="7" t="s">
        <v>24</v>
      </c>
      <c r="F20" s="7" t="s">
        <v>25</v>
      </c>
      <c r="G20" s="7" t="s">
        <v>26</v>
      </c>
    </row>
    <row r="21" customFormat="false" ht="27.75" hidden="false" customHeight="true" outlineLevel="0" collapsed="false">
      <c r="B21" s="8" t="n">
        <f aca="false">'5. Net Worth'!J1</f>
        <v>323500</v>
      </c>
      <c r="C21" s="8" t="n">
        <f aca="false">'4. Cash Flow'!J1</f>
        <v>5935</v>
      </c>
      <c r="D21" s="9" t="n">
        <f aca="false">'4. Cash Flow'!J2</f>
        <v>0.0592592592592593</v>
      </c>
      <c r="E21" s="10" t="n">
        <f aca="false">'6. Debt &amp; Liquidity'!J1</f>
        <v>1.98281559814937</v>
      </c>
      <c r="F21" s="8" t="n">
        <f aca="false">'7. Retirement'!J1</f>
        <v>120000</v>
      </c>
      <c r="G21" s="8" t="n">
        <f aca="false">'7. Retirement'!J2</f>
        <v>174617.896011534</v>
      </c>
    </row>
    <row r="23" customFormat="false" ht="15" hidden="false" customHeight="false" outlineLevel="0" collapsed="false">
      <c r="B23" s="4" t="s">
        <v>27</v>
      </c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B24" s="11" t="s">
        <v>28</v>
      </c>
      <c r="C24" s="11" t="s">
        <v>29</v>
      </c>
      <c r="D24" s="11"/>
      <c r="E24" s="11" t="s">
        <v>30</v>
      </c>
      <c r="F24" s="11"/>
    </row>
    <row r="25" customFormat="false" ht="30" hidden="false" customHeight="true" outlineLevel="0" collapsed="false">
      <c r="B25" s="12" t="s">
        <v>31</v>
      </c>
      <c r="C25" s="13" t="s">
        <v>32</v>
      </c>
      <c r="D25" s="13"/>
      <c r="E25" s="14" t="s">
        <v>33</v>
      </c>
      <c r="F25" s="15" t="s">
        <v>34</v>
      </c>
      <c r="G25" s="15"/>
    </row>
    <row r="26" customFormat="false" ht="30" hidden="false" customHeight="true" outlineLevel="0" collapsed="false">
      <c r="B26" s="12" t="s">
        <v>35</v>
      </c>
      <c r="C26" s="13" t="s">
        <v>36</v>
      </c>
      <c r="D26" s="13"/>
      <c r="E26" s="14" t="s">
        <v>33</v>
      </c>
      <c r="F26" s="15" t="s">
        <v>34</v>
      </c>
      <c r="G26" s="15"/>
    </row>
    <row r="27" customFormat="false" ht="30" hidden="false" customHeight="true" outlineLevel="0" collapsed="false">
      <c r="B27" s="12" t="s">
        <v>37</v>
      </c>
      <c r="C27" s="13" t="s">
        <v>38</v>
      </c>
      <c r="D27" s="13"/>
      <c r="E27" s="14" t="s">
        <v>33</v>
      </c>
      <c r="F27" s="15" t="s">
        <v>34</v>
      </c>
      <c r="G27" s="15"/>
    </row>
    <row r="28" customFormat="false" ht="30" hidden="false" customHeight="true" outlineLevel="0" collapsed="false">
      <c r="B28" s="12" t="s">
        <v>39</v>
      </c>
      <c r="C28" s="13" t="s">
        <v>40</v>
      </c>
      <c r="D28" s="13"/>
      <c r="E28" s="14" t="s">
        <v>33</v>
      </c>
      <c r="F28" s="15" t="s">
        <v>34</v>
      </c>
      <c r="G28" s="15"/>
    </row>
    <row r="29" customFormat="false" ht="30" hidden="false" customHeight="true" outlineLevel="0" collapsed="false">
      <c r="B29" s="12" t="s">
        <v>41</v>
      </c>
      <c r="C29" s="13" t="s">
        <v>42</v>
      </c>
      <c r="D29" s="13"/>
      <c r="E29" s="16" t="s">
        <v>43</v>
      </c>
      <c r="F29" s="15" t="s">
        <v>44</v>
      </c>
      <c r="G29" s="15"/>
    </row>
    <row r="30" customFormat="false" ht="30" hidden="false" customHeight="true" outlineLevel="0" collapsed="false">
      <c r="B30" s="12" t="s">
        <v>45</v>
      </c>
      <c r="C30" s="13" t="s">
        <v>46</v>
      </c>
      <c r="D30" s="13"/>
      <c r="E30" s="16" t="s">
        <v>43</v>
      </c>
      <c r="F30" s="15" t="s">
        <v>44</v>
      </c>
      <c r="G30" s="15"/>
    </row>
    <row r="31" customFormat="false" ht="30" hidden="false" customHeight="true" outlineLevel="0" collapsed="false">
      <c r="B31" s="12" t="s">
        <v>47</v>
      </c>
      <c r="C31" s="13" t="s">
        <v>48</v>
      </c>
      <c r="D31" s="13"/>
      <c r="E31" s="16" t="s">
        <v>43</v>
      </c>
      <c r="F31" s="15" t="s">
        <v>44</v>
      </c>
      <c r="G31" s="15"/>
    </row>
    <row r="32" customFormat="false" ht="30" hidden="false" customHeight="true" outlineLevel="0" collapsed="false">
      <c r="B32" s="12" t="s">
        <v>49</v>
      </c>
      <c r="C32" s="13" t="s">
        <v>50</v>
      </c>
      <c r="D32" s="13"/>
      <c r="E32" s="17" t="s">
        <v>51</v>
      </c>
      <c r="F32" s="15" t="s">
        <v>52</v>
      </c>
      <c r="G32" s="15"/>
    </row>
  </sheetData>
  <mergeCells count="32">
    <mergeCell ref="B2:H2"/>
    <mergeCell ref="B3:H3"/>
    <mergeCell ref="B5:H6"/>
    <mergeCell ref="B8:H8"/>
    <mergeCell ref="C9:E9"/>
    <mergeCell ref="C10:E10"/>
    <mergeCell ref="C11:E11"/>
    <mergeCell ref="C12:E12"/>
    <mergeCell ref="C13:E13"/>
    <mergeCell ref="C14:E14"/>
    <mergeCell ref="C15:E15"/>
    <mergeCell ref="C16:E16"/>
    <mergeCell ref="B19:H19"/>
    <mergeCell ref="B23:H23"/>
    <mergeCell ref="C24:D24"/>
    <mergeCell ref="E24:F24"/>
    <mergeCell ref="C25:D25"/>
    <mergeCell ref="F25:G25"/>
    <mergeCell ref="C26:D26"/>
    <mergeCell ref="F26:G26"/>
    <mergeCell ref="C27:D27"/>
    <mergeCell ref="F27:G27"/>
    <mergeCell ref="C28:D28"/>
    <mergeCell ref="F28:G28"/>
    <mergeCell ref="C29:D29"/>
    <mergeCell ref="F29:G29"/>
    <mergeCell ref="C30:D30"/>
    <mergeCell ref="F30:G30"/>
    <mergeCell ref="C31:D31"/>
    <mergeCell ref="F31:G31"/>
    <mergeCell ref="C32:D32"/>
    <mergeCell ref="F32:G3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32"/>
    <col collapsed="false" customWidth="true" hidden="false" outlineLevel="0" max="6" min="6" style="0" width="40"/>
  </cols>
  <sheetData>
    <row r="2" customFormat="false" ht="24" hidden="false" customHeight="true" outlineLevel="0" collapsed="false">
      <c r="B2" s="1" t="s">
        <v>53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54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4" t="s">
        <v>55</v>
      </c>
      <c r="C5" s="4"/>
      <c r="E5" s="4" t="s">
        <v>56</v>
      </c>
      <c r="F5" s="4"/>
    </row>
    <row r="6" customFormat="false" ht="15" hidden="false" customHeight="false" outlineLevel="0" collapsed="false">
      <c r="B6" s="18" t="s">
        <v>57</v>
      </c>
      <c r="C6" s="19" t="s">
        <v>5</v>
      </c>
      <c r="E6" s="18" t="s">
        <v>57</v>
      </c>
      <c r="F6" s="19" t="s">
        <v>7</v>
      </c>
    </row>
    <row r="7" customFormat="false" ht="15" hidden="false" customHeight="false" outlineLevel="0" collapsed="false">
      <c r="B7" s="18" t="s">
        <v>58</v>
      </c>
      <c r="C7" s="19" t="n">
        <v>38</v>
      </c>
      <c r="E7" s="18" t="s">
        <v>58</v>
      </c>
      <c r="F7" s="19" t="n">
        <v>36</v>
      </c>
    </row>
    <row r="8" customFormat="false" ht="15" hidden="false" customHeight="false" outlineLevel="0" collapsed="false">
      <c r="B8" s="18" t="s">
        <v>59</v>
      </c>
      <c r="C8" s="19" t="s">
        <v>60</v>
      </c>
      <c r="E8" s="18" t="s">
        <v>59</v>
      </c>
      <c r="F8" s="19" t="s">
        <v>61</v>
      </c>
    </row>
    <row r="9" customFormat="false" ht="15" hidden="false" customHeight="false" outlineLevel="0" collapsed="false">
      <c r="B9" s="18" t="s">
        <v>14</v>
      </c>
      <c r="C9" s="19" t="s">
        <v>15</v>
      </c>
      <c r="E9" s="18" t="s">
        <v>62</v>
      </c>
      <c r="F9" s="19" t="s">
        <v>63</v>
      </c>
    </row>
    <row r="10" customFormat="false" ht="15" hidden="false" customHeight="false" outlineLevel="0" collapsed="false">
      <c r="B10" s="18" t="s">
        <v>64</v>
      </c>
      <c r="C10" s="19" t="s">
        <v>65</v>
      </c>
      <c r="E10" s="18" t="s">
        <v>66</v>
      </c>
      <c r="F10" s="20" t="n">
        <v>52000</v>
      </c>
    </row>
    <row r="11" customFormat="false" ht="15" hidden="false" customHeight="false" outlineLevel="0" collapsed="false">
      <c r="B11" s="18" t="s">
        <v>67</v>
      </c>
      <c r="C11" s="19" t="n">
        <v>6</v>
      </c>
      <c r="E11" s="18" t="s">
        <v>68</v>
      </c>
      <c r="F11" s="19" t="s">
        <v>69</v>
      </c>
    </row>
    <row r="12" customFormat="false" ht="15" hidden="false" customHeight="false" outlineLevel="0" collapsed="false">
      <c r="B12" s="18" t="s">
        <v>68</v>
      </c>
      <c r="C12" s="19" t="s">
        <v>69</v>
      </c>
      <c r="E12" s="18" t="s">
        <v>70</v>
      </c>
      <c r="F12" s="19" t="n">
        <v>60</v>
      </c>
    </row>
    <row r="13" customFormat="false" ht="15" hidden="false" customHeight="false" outlineLevel="0" collapsed="false">
      <c r="B13" s="18" t="s">
        <v>71</v>
      </c>
      <c r="C13" s="19" t="n">
        <v>67</v>
      </c>
    </row>
    <row r="15" customFormat="false" ht="15" hidden="false" customHeight="false" outlineLevel="0" collapsed="false">
      <c r="B15" s="4" t="s">
        <v>72</v>
      </c>
      <c r="C15" s="4"/>
    </row>
    <row r="16" customFormat="false" ht="15" hidden="false" customHeight="false" outlineLevel="0" collapsed="false">
      <c r="B16" s="12" t="s">
        <v>73</v>
      </c>
      <c r="C16" s="19" t="s">
        <v>74</v>
      </c>
    </row>
    <row r="17" customFormat="false" ht="15" hidden="false" customHeight="false" outlineLevel="0" collapsed="false">
      <c r="B17" s="12" t="s">
        <v>75</v>
      </c>
      <c r="C17" s="19" t="s">
        <v>76</v>
      </c>
    </row>
    <row r="19" customFormat="false" ht="15" hidden="false" customHeight="false" outlineLevel="0" collapsed="false">
      <c r="B19" s="4" t="s">
        <v>77</v>
      </c>
      <c r="C19" s="4"/>
      <c r="D19" s="4"/>
      <c r="E19" s="4"/>
      <c r="F19" s="4"/>
    </row>
    <row r="20" customFormat="false" ht="15" hidden="false" customHeight="false" outlineLevel="0" collapsed="false">
      <c r="B20" s="11" t="s">
        <v>78</v>
      </c>
      <c r="C20" s="11" t="s">
        <v>79</v>
      </c>
      <c r="D20" s="21" t="s">
        <v>80</v>
      </c>
      <c r="E20" s="21"/>
      <c r="F20" s="21"/>
    </row>
    <row r="21" customFormat="false" ht="15" hidden="false" customHeight="false" outlineLevel="0" collapsed="false">
      <c r="B21" s="12" t="s">
        <v>81</v>
      </c>
      <c r="C21" s="19" t="s">
        <v>15</v>
      </c>
      <c r="D21" s="22"/>
      <c r="E21" s="22"/>
      <c r="F21" s="22"/>
    </row>
    <row r="22" customFormat="false" ht="15" hidden="false" customHeight="false" outlineLevel="0" collapsed="false">
      <c r="B22" s="12" t="s">
        <v>64</v>
      </c>
      <c r="C22" s="19" t="s">
        <v>82</v>
      </c>
      <c r="D22" s="22"/>
      <c r="E22" s="22"/>
      <c r="F22" s="22"/>
    </row>
    <row r="23" customFormat="false" ht="15" hidden="false" customHeight="false" outlineLevel="0" collapsed="false">
      <c r="B23" s="12" t="s">
        <v>83</v>
      </c>
      <c r="C23" s="23" t="n">
        <v>6</v>
      </c>
      <c r="D23" s="22"/>
      <c r="E23" s="22"/>
      <c r="F23" s="22"/>
    </row>
    <row r="24" customFormat="false" ht="15" hidden="false" customHeight="false" outlineLevel="0" collapsed="false">
      <c r="B24" s="12" t="s">
        <v>84</v>
      </c>
      <c r="C24" s="24" t="n">
        <v>450000</v>
      </c>
      <c r="D24" s="22"/>
      <c r="E24" s="22"/>
      <c r="F24" s="22"/>
    </row>
    <row r="25" customFormat="false" ht="15" hidden="false" customHeight="false" outlineLevel="0" collapsed="false">
      <c r="B25" s="12" t="s">
        <v>85</v>
      </c>
      <c r="C25" s="24" t="n">
        <v>310000</v>
      </c>
      <c r="D25" s="22"/>
      <c r="E25" s="22"/>
      <c r="F25" s="22"/>
    </row>
    <row r="26" customFormat="false" ht="15" hidden="false" customHeight="false" outlineLevel="0" collapsed="false">
      <c r="B26" s="12" t="s">
        <v>86</v>
      </c>
      <c r="C26" s="25" t="n">
        <f aca="false">C24-C25</f>
        <v>140000</v>
      </c>
      <c r="D26" s="22"/>
      <c r="E26" s="22"/>
      <c r="F26" s="22"/>
    </row>
    <row r="27" customFormat="false" ht="15" hidden="false" customHeight="false" outlineLevel="0" collapsed="false">
      <c r="B27" s="12" t="s">
        <v>87</v>
      </c>
      <c r="C27" s="23" t="n">
        <v>2</v>
      </c>
      <c r="D27" s="22" t="s">
        <v>88</v>
      </c>
      <c r="E27" s="22"/>
      <c r="F27" s="22"/>
    </row>
    <row r="28" customFormat="false" ht="15" hidden="false" customHeight="false" outlineLevel="0" collapsed="false">
      <c r="B28" s="12" t="s">
        <v>89</v>
      </c>
      <c r="C28" s="24" t="n">
        <v>120000</v>
      </c>
      <c r="D28" s="22"/>
      <c r="E28" s="22"/>
      <c r="F28" s="22"/>
    </row>
    <row r="29" customFormat="false" ht="15" hidden="false" customHeight="false" outlineLevel="0" collapsed="false">
      <c r="B29" s="12" t="s">
        <v>90</v>
      </c>
      <c r="C29" s="24" t="n">
        <v>120000</v>
      </c>
      <c r="D29" s="22"/>
      <c r="E29" s="22"/>
      <c r="F29" s="22"/>
    </row>
    <row r="30" customFormat="false" ht="15" hidden="false" customHeight="false" outlineLevel="0" collapsed="false">
      <c r="B30" s="12" t="s">
        <v>91</v>
      </c>
      <c r="C30" s="24" t="n">
        <v>28000</v>
      </c>
      <c r="D30" s="22"/>
      <c r="E30" s="22"/>
      <c r="F30" s="22"/>
    </row>
    <row r="32" customFormat="false" ht="15" hidden="false" customHeight="false" outlineLevel="0" collapsed="false">
      <c r="B32" s="4" t="s">
        <v>92</v>
      </c>
      <c r="C32" s="4"/>
      <c r="D32" s="4"/>
      <c r="E32" s="4"/>
      <c r="F32" s="4"/>
    </row>
    <row r="33" customFormat="false" ht="15" hidden="false" customHeight="false" outlineLevel="0" collapsed="false">
      <c r="B33" s="11" t="s">
        <v>93</v>
      </c>
      <c r="C33" s="11" t="s">
        <v>94</v>
      </c>
      <c r="D33" s="11" t="s">
        <v>95</v>
      </c>
      <c r="E33" s="11" t="s">
        <v>30</v>
      </c>
      <c r="F33" s="11" t="s">
        <v>96</v>
      </c>
    </row>
    <row r="34" customFormat="false" ht="15" hidden="false" customHeight="false" outlineLevel="0" collapsed="false">
      <c r="B34" s="26" t="n">
        <v>1</v>
      </c>
      <c r="C34" s="12" t="s">
        <v>97</v>
      </c>
      <c r="D34" s="24" t="n">
        <v>45000</v>
      </c>
      <c r="E34" s="26" t="s">
        <v>98</v>
      </c>
      <c r="F34" s="14" t="s">
        <v>99</v>
      </c>
    </row>
    <row r="35" customFormat="false" ht="15" hidden="false" customHeight="false" outlineLevel="0" collapsed="false">
      <c r="B35" s="26" t="n">
        <v>2</v>
      </c>
      <c r="C35" s="12" t="s">
        <v>100</v>
      </c>
      <c r="D35" s="24" t="n">
        <v>8500</v>
      </c>
      <c r="E35" s="26" t="s">
        <v>101</v>
      </c>
      <c r="F35" s="14" t="s">
        <v>99</v>
      </c>
    </row>
    <row r="36" customFormat="false" ht="15" hidden="false" customHeight="false" outlineLevel="0" collapsed="false">
      <c r="B36" s="26" t="n">
        <v>3</v>
      </c>
      <c r="C36" s="12" t="s">
        <v>102</v>
      </c>
      <c r="D36" s="24" t="n">
        <v>22500</v>
      </c>
      <c r="E36" s="26" t="s">
        <v>103</v>
      </c>
      <c r="F36" s="14" t="s">
        <v>99</v>
      </c>
    </row>
    <row r="37" customFormat="false" ht="15" hidden="false" customHeight="false" outlineLevel="0" collapsed="false">
      <c r="B37" s="26" t="n">
        <v>4</v>
      </c>
      <c r="C37" s="12" t="s">
        <v>40</v>
      </c>
      <c r="D37" s="24" t="n">
        <v>50000</v>
      </c>
      <c r="E37" s="26" t="s">
        <v>104</v>
      </c>
      <c r="F37" s="16" t="s">
        <v>105</v>
      </c>
    </row>
    <row r="38" customFormat="false" ht="15" hidden="false" customHeight="false" outlineLevel="0" collapsed="false">
      <c r="B38" s="26" t="n">
        <v>5</v>
      </c>
      <c r="C38" s="12" t="s">
        <v>106</v>
      </c>
      <c r="D38" s="24" t="n">
        <v>4800</v>
      </c>
      <c r="E38" s="26" t="s">
        <v>104</v>
      </c>
      <c r="F38" s="17" t="s">
        <v>107</v>
      </c>
    </row>
    <row r="39" customFormat="false" ht="15" hidden="false" customHeight="false" outlineLevel="0" collapsed="false">
      <c r="B39" s="26" t="n">
        <v>6</v>
      </c>
      <c r="C39" s="12" t="s">
        <v>108</v>
      </c>
      <c r="D39" s="24" t="n">
        <v>25000</v>
      </c>
      <c r="E39" s="26" t="s">
        <v>109</v>
      </c>
      <c r="F39" s="16" t="s">
        <v>105</v>
      </c>
    </row>
    <row r="40" customFormat="false" ht="15" hidden="false" customHeight="false" outlineLevel="0" collapsed="false">
      <c r="B40" s="26" t="n">
        <v>7</v>
      </c>
      <c r="C40" s="12" t="s">
        <v>110</v>
      </c>
      <c r="D40" s="24" t="n">
        <v>0</v>
      </c>
      <c r="E40" s="26" t="s">
        <v>111</v>
      </c>
      <c r="F40" s="17" t="s">
        <v>107</v>
      </c>
    </row>
    <row r="41" customFormat="false" ht="15" hidden="false" customHeight="false" outlineLevel="0" collapsed="false">
      <c r="B41" s="26" t="n">
        <v>8</v>
      </c>
      <c r="C41" s="12" t="s">
        <v>112</v>
      </c>
      <c r="D41" s="24" t="n">
        <v>28000</v>
      </c>
      <c r="E41" s="26" t="s">
        <v>113</v>
      </c>
      <c r="F41" s="17" t="s">
        <v>114</v>
      </c>
    </row>
  </sheetData>
  <mergeCells count="18">
    <mergeCell ref="B2:H2"/>
    <mergeCell ref="B3:H3"/>
    <mergeCell ref="B5:C5"/>
    <mergeCell ref="E5:F5"/>
    <mergeCell ref="B15:C15"/>
    <mergeCell ref="B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B32:F3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3" min="3" style="0" width="18"/>
    <col collapsed="false" customWidth="true" hidden="false" outlineLevel="0" max="4" min="4" style="0" width="5"/>
    <col collapsed="false" customWidth="true" hidden="false" outlineLevel="0" max="5" min="5" style="0" width="40"/>
  </cols>
  <sheetData>
    <row r="2" customFormat="false" ht="24" hidden="false" customHeight="true" outlineLevel="0" collapsed="false">
      <c r="B2" s="1" t="s">
        <v>115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116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4" t="s">
        <v>117</v>
      </c>
      <c r="C5" s="4"/>
      <c r="D5" s="4"/>
      <c r="E5" s="4"/>
    </row>
    <row r="6" customFormat="false" ht="15" hidden="false" customHeight="false" outlineLevel="0" collapsed="false">
      <c r="B6" s="11" t="s">
        <v>118</v>
      </c>
      <c r="C6" s="11" t="s">
        <v>79</v>
      </c>
      <c r="E6" s="11" t="s">
        <v>80</v>
      </c>
    </row>
    <row r="7" customFormat="false" ht="15" hidden="false" customHeight="false" outlineLevel="0" collapsed="false">
      <c r="B7" s="18" t="s">
        <v>119</v>
      </c>
      <c r="C7" s="27" t="n">
        <v>0.03</v>
      </c>
      <c r="E7" s="28" t="s">
        <v>120</v>
      </c>
    </row>
    <row r="8" customFormat="false" ht="15" hidden="false" customHeight="false" outlineLevel="0" collapsed="false">
      <c r="B8" s="18" t="s">
        <v>121</v>
      </c>
      <c r="C8" s="27" t="n">
        <v>0.05</v>
      </c>
      <c r="E8" s="28" t="s">
        <v>122</v>
      </c>
    </row>
    <row r="9" customFormat="false" ht="15" hidden="false" customHeight="false" outlineLevel="0" collapsed="false">
      <c r="B9" s="18" t="s">
        <v>123</v>
      </c>
      <c r="C9" s="27" t="n">
        <v>0.07</v>
      </c>
      <c r="E9" s="28" t="s">
        <v>124</v>
      </c>
    </row>
    <row r="10" customFormat="false" ht="15" hidden="false" customHeight="false" outlineLevel="0" collapsed="false">
      <c r="B10" s="18" t="s">
        <v>125</v>
      </c>
      <c r="C10" s="27" t="n">
        <v>0.09</v>
      </c>
      <c r="E10" s="28" t="s">
        <v>126</v>
      </c>
    </row>
    <row r="11" customFormat="false" ht="15" hidden="false" customHeight="false" outlineLevel="0" collapsed="false">
      <c r="B11" s="18" t="s">
        <v>127</v>
      </c>
      <c r="C11" s="27" t="n">
        <v>0.04</v>
      </c>
      <c r="E11" s="28" t="s">
        <v>128</v>
      </c>
    </row>
    <row r="12" customFormat="false" ht="15" hidden="false" customHeight="false" outlineLevel="0" collapsed="false">
      <c r="B12" s="18" t="s">
        <v>129</v>
      </c>
      <c r="C12" s="27" t="n">
        <v>0.05</v>
      </c>
      <c r="E12" s="28" t="s">
        <v>130</v>
      </c>
    </row>
    <row r="13" customFormat="false" ht="15" hidden="false" customHeight="false" outlineLevel="0" collapsed="false">
      <c r="B13" s="18" t="s">
        <v>131</v>
      </c>
      <c r="C13" s="27" t="n">
        <v>0.025</v>
      </c>
      <c r="E13" s="28" t="s">
        <v>132</v>
      </c>
    </row>
    <row r="14" customFormat="false" ht="15" hidden="false" customHeight="false" outlineLevel="0" collapsed="false">
      <c r="B14" s="18" t="s">
        <v>133</v>
      </c>
      <c r="C14" s="27" t="n">
        <v>0.035</v>
      </c>
      <c r="E14" s="28" t="s">
        <v>134</v>
      </c>
    </row>
    <row r="15" customFormat="false" ht="15" hidden="false" customHeight="false" outlineLevel="0" collapsed="false">
      <c r="B15" s="18" t="s">
        <v>135</v>
      </c>
      <c r="C15" s="27" t="n">
        <v>0.0575</v>
      </c>
      <c r="E15" s="28" t="s">
        <v>136</v>
      </c>
    </row>
    <row r="16" customFormat="false" ht="15" hidden="false" customHeight="false" outlineLevel="0" collapsed="false">
      <c r="B16" s="18" t="s">
        <v>137</v>
      </c>
      <c r="C16" s="27" t="n">
        <v>0.24</v>
      </c>
      <c r="E16" s="28" t="s">
        <v>138</v>
      </c>
    </row>
    <row r="17" customFormat="false" ht="15" hidden="false" customHeight="false" outlineLevel="0" collapsed="false">
      <c r="B17" s="18" t="s">
        <v>139</v>
      </c>
      <c r="C17" s="27" t="n">
        <v>0.153</v>
      </c>
      <c r="E17" s="28" t="s">
        <v>140</v>
      </c>
    </row>
    <row r="18" customFormat="false" ht="15" hidden="false" customHeight="false" outlineLevel="0" collapsed="false">
      <c r="B18" s="18" t="s">
        <v>141</v>
      </c>
      <c r="C18" s="27" t="n">
        <v>0</v>
      </c>
      <c r="E18" s="28" t="s">
        <v>142</v>
      </c>
    </row>
    <row r="20" customFormat="false" ht="15" hidden="false" customHeight="false" outlineLevel="0" collapsed="false">
      <c r="B20" s="4" t="s">
        <v>143</v>
      </c>
      <c r="C20" s="4"/>
      <c r="D20" s="4"/>
      <c r="E20" s="4"/>
    </row>
    <row r="21" customFormat="false" ht="15" hidden="false" customHeight="false" outlineLevel="0" collapsed="false">
      <c r="B21" s="11" t="s">
        <v>118</v>
      </c>
      <c r="C21" s="11" t="s">
        <v>79</v>
      </c>
    </row>
    <row r="22" customFormat="false" ht="15" hidden="false" customHeight="false" outlineLevel="0" collapsed="false">
      <c r="B22" s="18" t="s">
        <v>144</v>
      </c>
      <c r="C22" s="29" t="n">
        <v>67</v>
      </c>
    </row>
    <row r="23" customFormat="false" ht="15" hidden="false" customHeight="false" outlineLevel="0" collapsed="false">
      <c r="B23" s="18" t="s">
        <v>145</v>
      </c>
      <c r="C23" s="29" t="n">
        <v>60</v>
      </c>
    </row>
    <row r="24" customFormat="false" ht="15" hidden="false" customHeight="false" outlineLevel="0" collapsed="false">
      <c r="B24" s="18" t="s">
        <v>146</v>
      </c>
      <c r="C24" s="29" t="n">
        <v>29</v>
      </c>
    </row>
    <row r="25" customFormat="false" ht="15" hidden="false" customHeight="false" outlineLevel="0" collapsed="false">
      <c r="B25" s="18" t="s">
        <v>147</v>
      </c>
      <c r="C25" s="30" t="n">
        <v>32000</v>
      </c>
    </row>
    <row r="26" customFormat="false" ht="15" hidden="false" customHeight="false" outlineLevel="0" collapsed="false">
      <c r="B26" s="18" t="s">
        <v>148</v>
      </c>
      <c r="C26" s="30" t="n">
        <v>36000</v>
      </c>
    </row>
    <row r="27" customFormat="false" ht="15" hidden="false" customHeight="false" outlineLevel="0" collapsed="false">
      <c r="B27" s="18" t="s">
        <v>149</v>
      </c>
      <c r="C27" s="30" t="n">
        <v>24000</v>
      </c>
    </row>
    <row r="28" customFormat="false" ht="15" hidden="false" customHeight="false" outlineLevel="0" collapsed="false">
      <c r="B28" s="18" t="s">
        <v>150</v>
      </c>
      <c r="C28" s="30" t="n">
        <v>80000</v>
      </c>
    </row>
    <row r="30" customFormat="false" ht="15" hidden="false" customHeight="false" outlineLevel="0" collapsed="false">
      <c r="B30" s="4" t="s">
        <v>151</v>
      </c>
      <c r="C30" s="4"/>
      <c r="D30" s="4"/>
      <c r="E30" s="4"/>
    </row>
    <row r="31" customFormat="false" ht="15" hidden="false" customHeight="false" outlineLevel="0" collapsed="false">
      <c r="B31" s="31" t="s">
        <v>152</v>
      </c>
      <c r="C31" s="12" t="s">
        <v>153</v>
      </c>
    </row>
    <row r="32" customFormat="false" ht="15" hidden="false" customHeight="false" outlineLevel="0" collapsed="false">
      <c r="B32" s="26" t="s">
        <v>154</v>
      </c>
      <c r="C32" s="12" t="s">
        <v>155</v>
      </c>
    </row>
    <row r="33" customFormat="false" ht="15" hidden="false" customHeight="false" outlineLevel="0" collapsed="false">
      <c r="B33" s="32" t="s">
        <v>156</v>
      </c>
      <c r="C33" s="12" t="s">
        <v>157</v>
      </c>
    </row>
    <row r="34" customFormat="false" ht="15" hidden="false" customHeight="false" outlineLevel="0" collapsed="false">
      <c r="B34" s="33" t="s">
        <v>158</v>
      </c>
      <c r="C34" s="12" t="s">
        <v>159</v>
      </c>
    </row>
  </sheetData>
  <mergeCells count="5">
    <mergeCell ref="B2:H2"/>
    <mergeCell ref="B3:H3"/>
    <mergeCell ref="B5:E5"/>
    <mergeCell ref="B20:E20"/>
    <mergeCell ref="B30:E30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6"/>
    <col collapsed="false" customWidth="true" hidden="true" outlineLevel="0" max="10" min="10" style="0" width="13"/>
  </cols>
  <sheetData>
    <row r="1" customFormat="false" ht="15" hidden="false" customHeight="false" outlineLevel="0" collapsed="false">
      <c r="J1" s="34" t="n">
        <f aca="false">C32</f>
        <v>5935</v>
      </c>
    </row>
    <row r="2" customFormat="false" ht="24" hidden="false" customHeight="true" outlineLevel="0" collapsed="false">
      <c r="B2" s="1" t="s">
        <v>160</v>
      </c>
      <c r="C2" s="1"/>
      <c r="D2" s="1"/>
      <c r="E2" s="1"/>
      <c r="F2" s="1"/>
      <c r="G2" s="1"/>
      <c r="H2" s="1"/>
      <c r="J2" s="35" t="n">
        <f aca="false">(C36+C37)/C10</f>
        <v>0.0592592592592593</v>
      </c>
    </row>
    <row r="3" customFormat="false" ht="15" hidden="false" customHeight="false" outlineLevel="0" collapsed="false">
      <c r="B3" s="2" t="s">
        <v>161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4" t="s">
        <v>162</v>
      </c>
      <c r="C5" s="4"/>
      <c r="D5" s="4"/>
      <c r="E5" s="4"/>
      <c r="F5" s="4"/>
    </row>
    <row r="6" customFormat="false" ht="15" hidden="false" customHeight="false" outlineLevel="0" collapsed="false">
      <c r="B6" s="11" t="s">
        <v>163</v>
      </c>
      <c r="C6" s="11" t="s">
        <v>164</v>
      </c>
      <c r="D6" s="11" t="s">
        <v>165</v>
      </c>
      <c r="E6" s="11" t="s">
        <v>166</v>
      </c>
    </row>
    <row r="7" customFormat="false" ht="15" hidden="false" customHeight="false" outlineLevel="0" collapsed="false">
      <c r="B7" s="12" t="s">
        <v>167</v>
      </c>
      <c r="C7" s="24" t="n">
        <v>10000</v>
      </c>
      <c r="D7" s="24" t="n">
        <v>120000</v>
      </c>
      <c r="E7" s="36"/>
    </row>
    <row r="8" customFormat="false" ht="15" hidden="false" customHeight="false" outlineLevel="0" collapsed="false">
      <c r="B8" s="12" t="s">
        <v>168</v>
      </c>
      <c r="C8" s="24" t="n">
        <v>4333</v>
      </c>
      <c r="D8" s="24" t="n">
        <v>52000</v>
      </c>
      <c r="E8" s="36"/>
    </row>
    <row r="9" customFormat="false" ht="15" hidden="false" customHeight="false" outlineLevel="0" collapsed="false">
      <c r="B9" s="12" t="s">
        <v>169</v>
      </c>
      <c r="C9" s="24" t="n">
        <v>3500</v>
      </c>
      <c r="D9" s="24" t="n">
        <v>42000</v>
      </c>
      <c r="E9" s="25" t="n">
        <f aca="false">C9</f>
        <v>3500</v>
      </c>
    </row>
    <row r="10" customFormat="false" ht="15" hidden="false" customHeight="false" outlineLevel="0" collapsed="false">
      <c r="B10" s="37" t="s">
        <v>170</v>
      </c>
      <c r="C10" s="38" t="n">
        <f aca="false">C7+C9</f>
        <v>13500</v>
      </c>
      <c r="D10" s="38" t="n">
        <f aca="false">D7+D9</f>
        <v>162000</v>
      </c>
      <c r="E10" s="38" t="n">
        <f aca="false">C10</f>
        <v>13500</v>
      </c>
    </row>
    <row r="12" customFormat="false" ht="15" hidden="false" customHeight="false" outlineLevel="0" collapsed="false">
      <c r="B12" s="4" t="s">
        <v>171</v>
      </c>
      <c r="C12" s="4"/>
      <c r="D12" s="4"/>
      <c r="E12" s="4"/>
      <c r="F12" s="4"/>
    </row>
    <row r="13" customFormat="false" ht="15" hidden="false" customHeight="false" outlineLevel="0" collapsed="false">
      <c r="B13" s="11" t="s">
        <v>172</v>
      </c>
      <c r="C13" s="11" t="s">
        <v>164</v>
      </c>
      <c r="D13" s="11" t="s">
        <v>165</v>
      </c>
      <c r="E13" s="11" t="s">
        <v>173</v>
      </c>
    </row>
    <row r="14" customFormat="false" ht="15" hidden="false" customHeight="false" outlineLevel="0" collapsed="false">
      <c r="B14" s="12" t="s">
        <v>174</v>
      </c>
      <c r="C14" s="24" t="n">
        <v>1668</v>
      </c>
      <c r="D14" s="25" t="n">
        <f aca="false">C14*12</f>
        <v>20016</v>
      </c>
      <c r="E14" s="39" t="n">
        <f aca="false">C14/$C$10</f>
        <v>0.123555555555556</v>
      </c>
    </row>
    <row r="15" customFormat="false" ht="15" hidden="false" customHeight="false" outlineLevel="0" collapsed="false">
      <c r="B15" s="12" t="s">
        <v>175</v>
      </c>
      <c r="C15" s="24" t="n">
        <v>450</v>
      </c>
      <c r="D15" s="25" t="n">
        <f aca="false">C15*12</f>
        <v>5400</v>
      </c>
      <c r="E15" s="39" t="n">
        <f aca="false">C15/$C$10</f>
        <v>0.0333333333333333</v>
      </c>
    </row>
    <row r="16" customFormat="false" ht="15" hidden="false" customHeight="false" outlineLevel="0" collapsed="false">
      <c r="B16" s="12" t="s">
        <v>176</v>
      </c>
      <c r="C16" s="24" t="n">
        <v>150</v>
      </c>
      <c r="D16" s="25" t="n">
        <f aca="false">C16*12</f>
        <v>1800</v>
      </c>
      <c r="E16" s="39" t="n">
        <f aca="false">C16/$C$10</f>
        <v>0.0111111111111111</v>
      </c>
    </row>
    <row r="17" customFormat="false" ht="15" hidden="false" customHeight="false" outlineLevel="0" collapsed="false">
      <c r="B17" s="12" t="s">
        <v>177</v>
      </c>
      <c r="C17" s="24" t="n">
        <v>350</v>
      </c>
      <c r="D17" s="25" t="n">
        <f aca="false">C17*12</f>
        <v>4200</v>
      </c>
      <c r="E17" s="39" t="n">
        <f aca="false">C17/$C$10</f>
        <v>0.0259259259259259</v>
      </c>
    </row>
    <row r="18" customFormat="false" ht="15" hidden="false" customHeight="false" outlineLevel="0" collapsed="false">
      <c r="B18" s="12" t="s">
        <v>178</v>
      </c>
      <c r="C18" s="24" t="n">
        <v>180</v>
      </c>
      <c r="D18" s="25" t="n">
        <f aca="false">C18*12</f>
        <v>2160</v>
      </c>
      <c r="E18" s="39" t="n">
        <f aca="false">C18/$C$10</f>
        <v>0.0133333333333333</v>
      </c>
    </row>
    <row r="19" customFormat="false" ht="15" hidden="false" customHeight="false" outlineLevel="0" collapsed="false">
      <c r="B19" s="12" t="s">
        <v>179</v>
      </c>
      <c r="C19" s="24" t="n">
        <v>1200</v>
      </c>
      <c r="D19" s="25" t="n">
        <f aca="false">C19*12</f>
        <v>14400</v>
      </c>
      <c r="E19" s="39" t="n">
        <f aca="false">C19/$C$10</f>
        <v>0.0888888888888889</v>
      </c>
    </row>
    <row r="20" customFormat="false" ht="15" hidden="false" customHeight="false" outlineLevel="0" collapsed="false">
      <c r="B20" s="12" t="s">
        <v>180</v>
      </c>
      <c r="C20" s="24" t="n">
        <v>412</v>
      </c>
      <c r="D20" s="25" t="n">
        <f aca="false">C20*12</f>
        <v>4944</v>
      </c>
      <c r="E20" s="39" t="n">
        <f aca="false">C20/$C$10</f>
        <v>0.0305185185185185</v>
      </c>
    </row>
    <row r="21" customFormat="false" ht="15" hidden="false" customHeight="false" outlineLevel="0" collapsed="false">
      <c r="B21" s="12" t="s">
        <v>181</v>
      </c>
      <c r="C21" s="24" t="n">
        <v>385</v>
      </c>
      <c r="D21" s="25" t="n">
        <f aca="false">C21*12</f>
        <v>4620</v>
      </c>
      <c r="E21" s="39" t="n">
        <f aca="false">C21/$C$10</f>
        <v>0.0285185185185185</v>
      </c>
    </row>
    <row r="22" customFormat="false" ht="15" hidden="false" customHeight="false" outlineLevel="0" collapsed="false">
      <c r="B22" s="12" t="s">
        <v>182</v>
      </c>
      <c r="C22" s="24" t="n">
        <v>220</v>
      </c>
      <c r="D22" s="25" t="n">
        <f aca="false">C22*12</f>
        <v>2640</v>
      </c>
      <c r="E22" s="39" t="n">
        <f aca="false">C22/$C$10</f>
        <v>0.0162962962962963</v>
      </c>
    </row>
    <row r="23" customFormat="false" ht="15" hidden="false" customHeight="false" outlineLevel="0" collapsed="false">
      <c r="B23" s="12" t="s">
        <v>183</v>
      </c>
      <c r="C23" s="24" t="n">
        <v>400</v>
      </c>
      <c r="D23" s="25" t="n">
        <f aca="false">C23*12</f>
        <v>4800</v>
      </c>
      <c r="E23" s="39" t="n">
        <f aca="false">C23/$C$10</f>
        <v>0.0296296296296296</v>
      </c>
    </row>
    <row r="24" customFormat="false" ht="15" hidden="false" customHeight="false" outlineLevel="0" collapsed="false">
      <c r="B24" s="12" t="s">
        <v>184</v>
      </c>
      <c r="C24" s="24" t="n">
        <v>600</v>
      </c>
      <c r="D24" s="25" t="n">
        <f aca="false">C24*12</f>
        <v>7200</v>
      </c>
      <c r="E24" s="39" t="n">
        <f aca="false">C24/$C$10</f>
        <v>0.0444444444444444</v>
      </c>
    </row>
    <row r="25" customFormat="false" ht="15" hidden="false" customHeight="false" outlineLevel="0" collapsed="false">
      <c r="B25" s="12" t="s">
        <v>185</v>
      </c>
      <c r="C25" s="24" t="n">
        <v>300</v>
      </c>
      <c r="D25" s="25" t="n">
        <f aca="false">C25*12</f>
        <v>3600</v>
      </c>
      <c r="E25" s="39" t="n">
        <f aca="false">C25/$C$10</f>
        <v>0.0222222222222222</v>
      </c>
    </row>
    <row r="26" customFormat="false" ht="15" hidden="false" customHeight="false" outlineLevel="0" collapsed="false">
      <c r="B26" s="12" t="s">
        <v>186</v>
      </c>
      <c r="C26" s="24" t="n">
        <v>300</v>
      </c>
      <c r="D26" s="25" t="n">
        <f aca="false">C26*12</f>
        <v>3600</v>
      </c>
      <c r="E26" s="39" t="n">
        <f aca="false">C26/$C$10</f>
        <v>0.0222222222222222</v>
      </c>
    </row>
    <row r="27" customFormat="false" ht="15" hidden="false" customHeight="false" outlineLevel="0" collapsed="false">
      <c r="B27" s="12" t="s">
        <v>187</v>
      </c>
      <c r="C27" s="24" t="n">
        <v>500</v>
      </c>
      <c r="D27" s="25" t="n">
        <f aca="false">C27*12</f>
        <v>6000</v>
      </c>
      <c r="E27" s="39" t="n">
        <f aca="false">C27/$C$10</f>
        <v>0.037037037037037</v>
      </c>
    </row>
    <row r="28" customFormat="false" ht="15" hidden="false" customHeight="false" outlineLevel="0" collapsed="false">
      <c r="B28" s="12" t="s">
        <v>188</v>
      </c>
      <c r="C28" s="24" t="n">
        <v>250</v>
      </c>
      <c r="D28" s="25" t="n">
        <f aca="false">C28*12</f>
        <v>3000</v>
      </c>
      <c r="E28" s="39" t="n">
        <f aca="false">C28/$C$10</f>
        <v>0.0185185185185185</v>
      </c>
    </row>
    <row r="29" customFormat="false" ht="15" hidden="false" customHeight="false" outlineLevel="0" collapsed="false">
      <c r="B29" s="12" t="s">
        <v>189</v>
      </c>
      <c r="C29" s="24" t="n">
        <v>200</v>
      </c>
      <c r="D29" s="25" t="n">
        <f aca="false">C29*12</f>
        <v>2400</v>
      </c>
      <c r="E29" s="39" t="n">
        <f aca="false">C29/$C$10</f>
        <v>0.0148148148148148</v>
      </c>
    </row>
    <row r="30" customFormat="false" ht="15" hidden="false" customHeight="false" outlineLevel="0" collapsed="false">
      <c r="B30" s="37" t="s">
        <v>190</v>
      </c>
      <c r="C30" s="38" t="n">
        <f aca="false">SUM(C14:C29)</f>
        <v>7565</v>
      </c>
      <c r="D30" s="38" t="n">
        <f aca="false">SUM(D14:D29)</f>
        <v>90780</v>
      </c>
      <c r="E30" s="40" t="n">
        <f aca="false">C30/$C$10</f>
        <v>0.56037037037037</v>
      </c>
    </row>
    <row r="32" customFormat="false" ht="17.35" hidden="false" customHeight="false" outlineLevel="0" collapsed="false">
      <c r="B32" s="41" t="s">
        <v>191</v>
      </c>
      <c r="C32" s="42" t="n">
        <f aca="false">C10-C30</f>
        <v>5935</v>
      </c>
      <c r="D32" s="42" t="n">
        <f aca="false">D10-D30</f>
        <v>71220</v>
      </c>
      <c r="E32" s="43" t="n">
        <f aca="false">C32/$C$10</f>
        <v>0.43962962962963</v>
      </c>
    </row>
    <row r="33" customFormat="false" ht="15" hidden="false" customHeight="false" outlineLevel="0" collapsed="false">
      <c r="B33" s="41"/>
    </row>
    <row r="34" customFormat="false" ht="15" hidden="false" customHeight="false" outlineLevel="0" collapsed="false">
      <c r="B34" s="4" t="s">
        <v>192</v>
      </c>
      <c r="C34" s="4"/>
      <c r="D34" s="4"/>
      <c r="E34" s="4"/>
      <c r="F34" s="4"/>
    </row>
    <row r="35" customFormat="false" ht="15" hidden="false" customHeight="false" outlineLevel="0" collapsed="false">
      <c r="B35" s="11" t="s">
        <v>193</v>
      </c>
      <c r="C35" s="11" t="s">
        <v>164</v>
      </c>
      <c r="D35" s="11" t="s">
        <v>165</v>
      </c>
      <c r="E35" s="11" t="s">
        <v>194</v>
      </c>
    </row>
    <row r="36" customFormat="false" ht="15" hidden="false" customHeight="false" outlineLevel="0" collapsed="false">
      <c r="B36" s="12" t="s">
        <v>195</v>
      </c>
      <c r="C36" s="24" t="n">
        <v>500</v>
      </c>
      <c r="D36" s="25" t="n">
        <f aca="false">C36*12</f>
        <v>6000</v>
      </c>
      <c r="E36" s="26" t="s">
        <v>196</v>
      </c>
    </row>
    <row r="37" customFormat="false" ht="15" hidden="false" customHeight="false" outlineLevel="0" collapsed="false">
      <c r="B37" s="12" t="s">
        <v>197</v>
      </c>
      <c r="C37" s="24" t="n">
        <v>300</v>
      </c>
      <c r="D37" s="25" t="n">
        <f aca="false">C37*12</f>
        <v>3600</v>
      </c>
      <c r="E37" s="26" t="s">
        <v>198</v>
      </c>
    </row>
    <row r="38" customFormat="false" ht="15" hidden="false" customHeight="false" outlineLevel="0" collapsed="false">
      <c r="B38" s="12" t="s">
        <v>199</v>
      </c>
      <c r="C38" s="24" t="n">
        <v>500</v>
      </c>
      <c r="D38" s="25" t="n">
        <f aca="false">C38*12</f>
        <v>6000</v>
      </c>
      <c r="E38" s="26" t="s">
        <v>200</v>
      </c>
    </row>
    <row r="39" customFormat="false" ht="15" hidden="false" customHeight="false" outlineLevel="0" collapsed="false">
      <c r="B39" s="12" t="s">
        <v>201</v>
      </c>
      <c r="C39" s="24" t="n">
        <v>2000</v>
      </c>
      <c r="D39" s="25" t="n">
        <f aca="false">C39*12</f>
        <v>24000</v>
      </c>
      <c r="E39" s="26" t="s">
        <v>202</v>
      </c>
    </row>
    <row r="41" customFormat="false" ht="15" hidden="false" customHeight="false" outlineLevel="0" collapsed="false">
      <c r="B41" s="4" t="s">
        <v>203</v>
      </c>
      <c r="C41" s="4"/>
      <c r="D41" s="4"/>
      <c r="E41" s="4"/>
      <c r="F41" s="4"/>
    </row>
    <row r="42" customFormat="false" ht="15" hidden="false" customHeight="false" outlineLevel="0" collapsed="false">
      <c r="B42" s="11" t="s">
        <v>204</v>
      </c>
      <c r="C42" s="11" t="s">
        <v>79</v>
      </c>
      <c r="D42" s="11"/>
      <c r="E42" s="11"/>
    </row>
    <row r="43" customFormat="false" ht="15" hidden="false" customHeight="false" outlineLevel="0" collapsed="false">
      <c r="B43" s="18" t="s">
        <v>205</v>
      </c>
      <c r="C43" s="39" t="n">
        <f aca="false">(C36+C37)/C10</f>
        <v>0.0592592592592593</v>
      </c>
    </row>
    <row r="44" customFormat="false" ht="15" hidden="false" customHeight="false" outlineLevel="0" collapsed="false">
      <c r="B44" s="18" t="s">
        <v>206</v>
      </c>
      <c r="C44" s="27" t="n">
        <v>0.15</v>
      </c>
    </row>
    <row r="45" customFormat="false" ht="15" hidden="false" customHeight="false" outlineLevel="0" collapsed="false">
      <c r="B45" s="18" t="s">
        <v>207</v>
      </c>
      <c r="C45" s="25" t="n">
        <f aca="false">C36+C37</f>
        <v>800</v>
      </c>
    </row>
    <row r="46" customFormat="false" ht="15" hidden="false" customHeight="false" outlineLevel="0" collapsed="false">
      <c r="B46" s="18" t="s">
        <v>208</v>
      </c>
      <c r="C46" s="25" t="n">
        <f aca="false">C10*0.15</f>
        <v>2025</v>
      </c>
    </row>
    <row r="47" customFormat="false" ht="15" hidden="false" customHeight="false" outlineLevel="0" collapsed="false">
      <c r="B47" s="18" t="s">
        <v>209</v>
      </c>
      <c r="C47" s="25" t="n">
        <f aca="false">(C10*0.15)-(C36+C37)</f>
        <v>1225</v>
      </c>
    </row>
    <row r="50" customFormat="false" ht="15" hidden="false" customHeight="false" outlineLevel="0" collapsed="false">
      <c r="B50" s="44" t="s">
        <v>210</v>
      </c>
    </row>
    <row r="51" customFormat="false" ht="15" hidden="false" customHeight="false" outlineLevel="0" collapsed="false">
      <c r="B51" s="45" t="s">
        <v>172</v>
      </c>
      <c r="C51" s="45" t="s">
        <v>211</v>
      </c>
    </row>
    <row r="52" customFormat="false" ht="15" hidden="false" customHeight="false" outlineLevel="0" collapsed="false">
      <c r="B52" s="46" t="s">
        <v>212</v>
      </c>
      <c r="C52" s="34" t="n">
        <f aca="false">C10</f>
        <v>13500</v>
      </c>
    </row>
    <row r="53" customFormat="false" ht="15" hidden="false" customHeight="false" outlineLevel="0" collapsed="false">
      <c r="B53" s="46" t="s">
        <v>213</v>
      </c>
      <c r="C53" s="34" t="n">
        <f aca="false">C30</f>
        <v>7565</v>
      </c>
    </row>
    <row r="54" customFormat="false" ht="15" hidden="false" customHeight="false" outlineLevel="0" collapsed="false">
      <c r="B54" s="46" t="s">
        <v>214</v>
      </c>
      <c r="C54" s="34" t="n">
        <f aca="false">C32</f>
        <v>5935</v>
      </c>
    </row>
    <row r="55" customFormat="false" ht="15" hidden="false" customHeight="false" outlineLevel="0" collapsed="false">
      <c r="B55" s="46" t="s">
        <v>215</v>
      </c>
      <c r="C55" s="34" t="n">
        <f aca="false">C36+C37</f>
        <v>800</v>
      </c>
    </row>
  </sheetData>
  <mergeCells count="7">
    <mergeCell ref="B2:H2"/>
    <mergeCell ref="B3:H3"/>
    <mergeCell ref="B5:F5"/>
    <mergeCell ref="B12:F12"/>
    <mergeCell ref="B32:B33"/>
    <mergeCell ref="B34:F34"/>
    <mergeCell ref="B41:F4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5" min="3" style="0" width="16"/>
    <col collapsed="false" customWidth="true" hidden="true" outlineLevel="0" max="10" min="10" style="0" width="13"/>
  </cols>
  <sheetData>
    <row r="1" customFormat="false" ht="15" hidden="false" customHeight="false" outlineLevel="0" collapsed="false">
      <c r="J1" s="34" t="n">
        <f aca="false">D26</f>
        <v>323500</v>
      </c>
    </row>
    <row r="2" customFormat="false" ht="24" hidden="false" customHeight="true" outlineLevel="0" collapsed="false">
      <c r="B2" s="1" t="s">
        <v>216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217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4" t="s">
        <v>218</v>
      </c>
      <c r="C5" s="4"/>
      <c r="D5" s="4"/>
      <c r="E5" s="4"/>
    </row>
    <row r="6" customFormat="false" ht="15" hidden="false" customHeight="false" outlineLevel="0" collapsed="false">
      <c r="B6" s="11" t="s">
        <v>219</v>
      </c>
      <c r="C6" s="11" t="s">
        <v>220</v>
      </c>
      <c r="D6" s="11" t="s">
        <v>221</v>
      </c>
      <c r="E6" s="11" t="s">
        <v>222</v>
      </c>
    </row>
    <row r="7" customFormat="false" ht="15" hidden="false" customHeight="false" outlineLevel="0" collapsed="false">
      <c r="B7" s="18" t="s">
        <v>223</v>
      </c>
      <c r="C7" s="24" t="n">
        <v>5000</v>
      </c>
      <c r="D7" s="26" t="s">
        <v>224</v>
      </c>
      <c r="E7" s="39" t="n">
        <f aca="false">C7/$C$15</f>
        <v>0.00740740740740741</v>
      </c>
    </row>
    <row r="8" customFormat="false" ht="15" hidden="false" customHeight="false" outlineLevel="0" collapsed="false">
      <c r="B8" s="18" t="s">
        <v>225</v>
      </c>
      <c r="C8" s="24" t="n">
        <v>15000</v>
      </c>
      <c r="D8" s="26" t="s">
        <v>224</v>
      </c>
      <c r="E8" s="39" t="n">
        <f aca="false">C8/$C$15</f>
        <v>0.0222222222222222</v>
      </c>
    </row>
    <row r="9" customFormat="false" ht="15" hidden="false" customHeight="false" outlineLevel="0" collapsed="false">
      <c r="B9" s="18" t="s">
        <v>226</v>
      </c>
      <c r="C9" s="24" t="n">
        <v>85000</v>
      </c>
      <c r="D9" s="26" t="s">
        <v>224</v>
      </c>
      <c r="E9" s="39" t="n">
        <f aca="false">C9/$C$15</f>
        <v>0.125925925925926</v>
      </c>
    </row>
    <row r="10" customFormat="false" ht="15" hidden="false" customHeight="false" outlineLevel="0" collapsed="false">
      <c r="B10" s="18" t="s">
        <v>227</v>
      </c>
      <c r="C10" s="24" t="n">
        <v>35000</v>
      </c>
      <c r="D10" s="26" t="s">
        <v>224</v>
      </c>
      <c r="E10" s="39" t="n">
        <f aca="false">C10/$C$15</f>
        <v>0.0518518518518519</v>
      </c>
    </row>
    <row r="11" customFormat="false" ht="15" hidden="false" customHeight="false" outlineLevel="0" collapsed="false">
      <c r="B11" s="18" t="s">
        <v>228</v>
      </c>
      <c r="C11" s="24" t="n">
        <v>0</v>
      </c>
      <c r="D11" s="26" t="s">
        <v>224</v>
      </c>
      <c r="E11" s="39" t="n">
        <f aca="false">C11/$C$15</f>
        <v>0</v>
      </c>
    </row>
    <row r="12" customFormat="false" ht="15" hidden="false" customHeight="false" outlineLevel="0" collapsed="false">
      <c r="B12" s="18" t="s">
        <v>229</v>
      </c>
      <c r="C12" s="24" t="n">
        <v>380000</v>
      </c>
      <c r="D12" s="26" t="s">
        <v>230</v>
      </c>
      <c r="E12" s="39" t="n">
        <f aca="false">C12/$C$15</f>
        <v>0.562962962962963</v>
      </c>
    </row>
    <row r="13" customFormat="false" ht="15" hidden="false" customHeight="false" outlineLevel="0" collapsed="false">
      <c r="B13" s="18" t="s">
        <v>231</v>
      </c>
      <c r="C13" s="24" t="n">
        <v>120000</v>
      </c>
      <c r="D13" s="26" t="s">
        <v>230</v>
      </c>
      <c r="E13" s="39" t="n">
        <f aca="false">C13/$C$15</f>
        <v>0.177777777777778</v>
      </c>
    </row>
    <row r="14" customFormat="false" ht="15" hidden="false" customHeight="false" outlineLevel="0" collapsed="false">
      <c r="B14" s="18" t="s">
        <v>232</v>
      </c>
      <c r="C14" s="24" t="n">
        <v>35000</v>
      </c>
      <c r="D14" s="26" t="s">
        <v>230</v>
      </c>
      <c r="E14" s="39" t="n">
        <f aca="false">C14/$C$15</f>
        <v>0.0518518518518519</v>
      </c>
    </row>
    <row r="15" customFormat="false" ht="15" hidden="false" customHeight="false" outlineLevel="0" collapsed="false">
      <c r="B15" s="37" t="s">
        <v>233</v>
      </c>
      <c r="C15" s="47" t="n">
        <f aca="false">SUM(C7:C14)</f>
        <v>675000</v>
      </c>
      <c r="E15" s="40" t="n">
        <f aca="false">SUM(E7:E14)</f>
        <v>1</v>
      </c>
    </row>
    <row r="17" customFormat="false" ht="15" hidden="false" customHeight="false" outlineLevel="0" collapsed="false">
      <c r="B17" s="4" t="s">
        <v>234</v>
      </c>
      <c r="C17" s="4"/>
      <c r="D17" s="4"/>
      <c r="E17" s="4"/>
    </row>
    <row r="18" customFormat="false" ht="15" hidden="false" customHeight="false" outlineLevel="0" collapsed="false">
      <c r="B18" s="11" t="s">
        <v>235</v>
      </c>
      <c r="C18" s="11" t="s">
        <v>236</v>
      </c>
      <c r="D18" s="11" t="s">
        <v>237</v>
      </c>
      <c r="E18" s="11" t="s">
        <v>222</v>
      </c>
    </row>
    <row r="19" customFormat="false" ht="15" hidden="false" customHeight="false" outlineLevel="0" collapsed="false">
      <c r="B19" s="18" t="s">
        <v>238</v>
      </c>
      <c r="C19" s="24" t="n">
        <v>285000</v>
      </c>
      <c r="D19" s="48" t="n">
        <v>0.0575</v>
      </c>
      <c r="E19" s="39" t="n">
        <f aca="false">C19/$C$24</f>
        <v>0.810810810810811</v>
      </c>
    </row>
    <row r="20" customFormat="false" ht="15" hidden="false" customHeight="false" outlineLevel="0" collapsed="false">
      <c r="B20" s="18" t="s">
        <v>239</v>
      </c>
      <c r="C20" s="24" t="n">
        <v>28000</v>
      </c>
      <c r="D20" s="48" t="n">
        <v>0.075</v>
      </c>
      <c r="E20" s="39" t="n">
        <f aca="false">C20/$C$24</f>
        <v>0.0796586059743955</v>
      </c>
    </row>
    <row r="21" customFormat="false" ht="15" hidden="false" customHeight="false" outlineLevel="0" collapsed="false">
      <c r="B21" s="18" t="s">
        <v>240</v>
      </c>
      <c r="C21" s="24" t="n">
        <v>18000</v>
      </c>
      <c r="D21" s="48" t="n">
        <v>0.065</v>
      </c>
      <c r="E21" s="39" t="n">
        <f aca="false">C21/$C$24</f>
        <v>0.0512091038406828</v>
      </c>
    </row>
    <row r="22" customFormat="false" ht="15" hidden="false" customHeight="false" outlineLevel="0" collapsed="false">
      <c r="B22" s="18" t="s">
        <v>241</v>
      </c>
      <c r="C22" s="24" t="n">
        <v>12000</v>
      </c>
      <c r="D22" s="48" t="n">
        <v>0.059</v>
      </c>
      <c r="E22" s="39" t="n">
        <f aca="false">C22/$C$24</f>
        <v>0.0341394025604552</v>
      </c>
    </row>
    <row r="23" customFormat="false" ht="15" hidden="false" customHeight="false" outlineLevel="0" collapsed="false">
      <c r="B23" s="18" t="s">
        <v>242</v>
      </c>
      <c r="C23" s="24" t="n">
        <v>8500</v>
      </c>
      <c r="D23" s="48" t="n">
        <v>0.229</v>
      </c>
      <c r="E23" s="39" t="n">
        <f aca="false">C23/$C$24</f>
        <v>0.0241820768136558</v>
      </c>
    </row>
    <row r="24" customFormat="false" ht="15" hidden="false" customHeight="false" outlineLevel="0" collapsed="false">
      <c r="B24" s="37" t="s">
        <v>243</v>
      </c>
      <c r="C24" s="47" t="n">
        <f aca="false">SUM(C19:C23)</f>
        <v>351500</v>
      </c>
      <c r="E24" s="40" t="n">
        <f aca="false">SUM(E19:E23)</f>
        <v>1</v>
      </c>
    </row>
    <row r="26" customFormat="false" ht="17.35" hidden="false" customHeight="false" outlineLevel="0" collapsed="false">
      <c r="B26" s="49" t="s">
        <v>244</v>
      </c>
      <c r="C26" s="49"/>
      <c r="D26" s="50" t="n">
        <f aca="false">C15-C24</f>
        <v>323500</v>
      </c>
      <c r="E26" s="51" t="n">
        <f aca="false">D26/C15</f>
        <v>0.479259259259259</v>
      </c>
    </row>
    <row r="27" customFormat="false" ht="15" hidden="false" customHeight="false" outlineLevel="0" collapsed="false">
      <c r="B27" s="44" t="s">
        <v>245</v>
      </c>
    </row>
    <row r="29" customFormat="false" ht="15" hidden="false" customHeight="false" outlineLevel="0" collapsed="false">
      <c r="B29" s="4" t="s">
        <v>246</v>
      </c>
      <c r="C29" s="4"/>
      <c r="D29" s="4"/>
      <c r="E29" s="4"/>
    </row>
    <row r="30" customFormat="false" ht="15" hidden="false" customHeight="false" outlineLevel="0" collapsed="false">
      <c r="B30" s="11" t="s">
        <v>247</v>
      </c>
      <c r="C30" s="11" t="s">
        <v>79</v>
      </c>
      <c r="D30" s="11" t="s">
        <v>248</v>
      </c>
      <c r="E30" s="11" t="s">
        <v>194</v>
      </c>
    </row>
    <row r="31" customFormat="false" ht="15" hidden="false" customHeight="false" outlineLevel="0" collapsed="false">
      <c r="B31" s="18" t="s">
        <v>249</v>
      </c>
      <c r="C31" s="39" t="n">
        <f aca="false">C24/C15</f>
        <v>0.520740740740741</v>
      </c>
      <c r="D31" s="48" t="n">
        <v>0.5</v>
      </c>
      <c r="E31" s="26" t="str">
        <f aca="false">IF(C31&gt;=D31,"On Track","Below Target")</f>
        <v>On Track</v>
      </c>
    </row>
    <row r="32" customFormat="false" ht="15" hidden="false" customHeight="false" outlineLevel="0" collapsed="false">
      <c r="B32" s="18" t="s">
        <v>250</v>
      </c>
      <c r="C32" s="52" t="n">
        <f aca="false">(C7+C8+C9+C10+C11)/C23</f>
        <v>16.4705882352941</v>
      </c>
      <c r="D32" s="53" t="n">
        <v>2</v>
      </c>
      <c r="E32" s="26" t="str">
        <f aca="false">IF(C32&gt;=D32,"On Track","Below Target")</f>
        <v>On Track</v>
      </c>
    </row>
    <row r="33" customFormat="false" ht="15" hidden="false" customHeight="false" outlineLevel="0" collapsed="false">
      <c r="B33" s="18" t="s">
        <v>251</v>
      </c>
      <c r="C33" s="52" t="n">
        <f aca="false">D26/('4. Cash Flow'!D10)</f>
        <v>1.99691358024691</v>
      </c>
      <c r="D33" s="53" t="n">
        <v>3</v>
      </c>
      <c r="E33" s="26" t="str">
        <f aca="false">IF(C33&gt;=D33,"On Track","Below Target")</f>
        <v>Below Target</v>
      </c>
    </row>
    <row r="34" customFormat="false" ht="15" hidden="false" customHeight="false" outlineLevel="0" collapsed="false">
      <c r="B34" s="18" t="s">
        <v>252</v>
      </c>
      <c r="C34" s="52" t="n">
        <f aca="false">(C7+C8+C9+C10+C11)/('4. Cash Flow'!D30)</f>
        <v>1.54218990967173</v>
      </c>
      <c r="D34" s="53" t="n">
        <v>0.5</v>
      </c>
      <c r="E34" s="26" t="str">
        <f aca="false">IF(C34&gt;=D34,"On Track","Below Target")</f>
        <v>On Track</v>
      </c>
    </row>
    <row r="37" customFormat="false" ht="15" hidden="false" customHeight="false" outlineLevel="0" collapsed="false">
      <c r="B37" s="44" t="s">
        <v>253</v>
      </c>
    </row>
    <row r="38" customFormat="false" ht="15" hidden="false" customHeight="false" outlineLevel="0" collapsed="false">
      <c r="B38" s="45" t="s">
        <v>219</v>
      </c>
      <c r="C38" s="45" t="s">
        <v>79</v>
      </c>
    </row>
    <row r="39" customFormat="false" ht="15" hidden="false" customHeight="false" outlineLevel="0" collapsed="false">
      <c r="B39" s="46" t="s">
        <v>254</v>
      </c>
      <c r="C39" s="34" t="n">
        <f aca="false">C7+C8</f>
        <v>20000</v>
      </c>
    </row>
    <row r="40" customFormat="false" ht="15" hidden="false" customHeight="false" outlineLevel="0" collapsed="false">
      <c r="B40" s="46" t="s">
        <v>255</v>
      </c>
      <c r="C40" s="34" t="n">
        <f aca="false">C9+C10</f>
        <v>120000</v>
      </c>
    </row>
    <row r="41" customFormat="false" ht="15" hidden="false" customHeight="false" outlineLevel="0" collapsed="false">
      <c r="B41" s="46" t="s">
        <v>256</v>
      </c>
      <c r="C41" s="34" t="n">
        <f aca="false">C12</f>
        <v>380000</v>
      </c>
    </row>
    <row r="42" customFormat="false" ht="15" hidden="false" customHeight="false" outlineLevel="0" collapsed="false">
      <c r="B42" s="46" t="s">
        <v>257</v>
      </c>
      <c r="C42" s="34" t="n">
        <f aca="false">C13</f>
        <v>120000</v>
      </c>
    </row>
    <row r="43" customFormat="false" ht="15" hidden="false" customHeight="false" outlineLevel="0" collapsed="false">
      <c r="B43" s="46" t="s">
        <v>258</v>
      </c>
      <c r="C43" s="34" t="n">
        <f aca="false">C14</f>
        <v>35000</v>
      </c>
    </row>
    <row r="44" customFormat="false" ht="15" hidden="false" customHeight="false" outlineLevel="0" collapsed="false">
      <c r="B44" s="46" t="s">
        <v>259</v>
      </c>
      <c r="C44" s="34" t="n">
        <f aca="false">C11</f>
        <v>0</v>
      </c>
    </row>
  </sheetData>
  <mergeCells count="6">
    <mergeCell ref="B2:H2"/>
    <mergeCell ref="B3:H3"/>
    <mergeCell ref="B5:E5"/>
    <mergeCell ref="B17:E17"/>
    <mergeCell ref="B26:C26"/>
    <mergeCell ref="B29:E29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7" min="3" style="0" width="14"/>
    <col collapsed="false" customWidth="true" hidden="false" outlineLevel="0" max="8" min="8" style="0" width="12"/>
    <col collapsed="false" customWidth="true" hidden="true" outlineLevel="0" max="10" min="10" style="0" width="13"/>
  </cols>
  <sheetData>
    <row r="1" customFormat="false" ht="15" hidden="false" customHeight="false" outlineLevel="0" collapsed="false">
      <c r="J1" s="54" t="n">
        <f aca="false">C20</f>
        <v>1.98281559814937</v>
      </c>
    </row>
    <row r="2" customFormat="false" ht="24" hidden="false" customHeight="true" outlineLevel="0" collapsed="false">
      <c r="B2" s="1" t="s">
        <v>260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261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4" t="s">
        <v>262</v>
      </c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B6" s="11" t="s">
        <v>263</v>
      </c>
      <c r="C6" s="11" t="s">
        <v>236</v>
      </c>
      <c r="D6" s="11" t="s">
        <v>264</v>
      </c>
      <c r="E6" s="11" t="s">
        <v>265</v>
      </c>
      <c r="F6" s="11" t="s">
        <v>266</v>
      </c>
      <c r="G6" s="11" t="s">
        <v>267</v>
      </c>
      <c r="H6" s="11" t="s">
        <v>268</v>
      </c>
    </row>
    <row r="7" customFormat="false" ht="15" hidden="false" customHeight="false" outlineLevel="0" collapsed="false">
      <c r="B7" s="18" t="s">
        <v>242</v>
      </c>
      <c r="C7" s="24" t="n">
        <v>8500</v>
      </c>
      <c r="D7" s="55" t="n">
        <v>0.229</v>
      </c>
      <c r="E7" s="24" t="n">
        <v>250</v>
      </c>
      <c r="F7" s="56" t="n">
        <f aca="false">NPER(D7/12,-E7,C7)</f>
        <v>55.3597297011407</v>
      </c>
      <c r="G7" s="25" t="n">
        <f aca="false">E7*F7-C7</f>
        <v>5339.93242528518</v>
      </c>
      <c r="H7" s="57" t="n">
        <v>1</v>
      </c>
    </row>
    <row r="8" customFormat="false" ht="15" hidden="false" customHeight="false" outlineLevel="0" collapsed="false">
      <c r="B8" s="18" t="s">
        <v>241</v>
      </c>
      <c r="C8" s="24" t="n">
        <v>12000</v>
      </c>
      <c r="D8" s="55" t="n">
        <v>0.059</v>
      </c>
      <c r="E8" s="24" t="n">
        <v>385</v>
      </c>
      <c r="F8" s="56" t="n">
        <f aca="false">NPER(D8/12,-E8,C8)</f>
        <v>33.9161801582449</v>
      </c>
      <c r="G8" s="25" t="n">
        <f aca="false">E8*F8-C8</f>
        <v>1057.72936092428</v>
      </c>
      <c r="H8" s="57" t="n">
        <v>2</v>
      </c>
    </row>
    <row r="9" customFormat="false" ht="15" hidden="false" customHeight="false" outlineLevel="0" collapsed="false">
      <c r="B9" s="18" t="s">
        <v>240</v>
      </c>
      <c r="C9" s="24" t="n">
        <v>18000</v>
      </c>
      <c r="D9" s="55" t="n">
        <v>0.065</v>
      </c>
      <c r="E9" s="24" t="n">
        <v>412</v>
      </c>
      <c r="F9" s="56" t="n">
        <f aca="false">NPER(D9/12,-E9,C9)</f>
        <v>49.9883023576192</v>
      </c>
      <c r="G9" s="25" t="n">
        <f aca="false">E9*F9-C9</f>
        <v>2595.18057133912</v>
      </c>
      <c r="H9" s="57" t="n">
        <v>3</v>
      </c>
    </row>
    <row r="10" customFormat="false" ht="15" hidden="false" customHeight="false" outlineLevel="0" collapsed="false">
      <c r="B10" s="18" t="s">
        <v>269</v>
      </c>
      <c r="C10" s="24" t="n">
        <v>28000</v>
      </c>
      <c r="D10" s="55" t="n">
        <v>0.075</v>
      </c>
      <c r="E10" s="24" t="n">
        <v>712</v>
      </c>
      <c r="F10" s="56" t="n">
        <f aca="false">NPER(D10/12,-E10,C10)</f>
        <v>45.273664153683</v>
      </c>
      <c r="G10" s="25" t="n">
        <f aca="false">E10*F10-C10</f>
        <v>4234.8488774223</v>
      </c>
      <c r="H10" s="57" t="n">
        <v>4</v>
      </c>
    </row>
    <row r="11" customFormat="false" ht="15" hidden="false" customHeight="false" outlineLevel="0" collapsed="false">
      <c r="B11" s="18" t="s">
        <v>238</v>
      </c>
      <c r="C11" s="24" t="n">
        <v>285000</v>
      </c>
      <c r="D11" s="55" t="n">
        <v>0.0575</v>
      </c>
      <c r="E11" s="24" t="n">
        <v>1668</v>
      </c>
      <c r="F11" s="56" t="n">
        <f aca="false">NPER(D11/12,-E11,C11)</f>
        <v>357.245373738584</v>
      </c>
      <c r="G11" s="25" t="n">
        <f aca="false">E11*F11-C11</f>
        <v>310885.283395958</v>
      </c>
      <c r="H11" s="57" t="n">
        <v>5</v>
      </c>
    </row>
    <row r="12" customFormat="false" ht="15" hidden="false" customHeight="false" outlineLevel="0" collapsed="false">
      <c r="B12" s="37" t="s">
        <v>270</v>
      </c>
      <c r="C12" s="47" t="n">
        <f aca="false">SUM(C7:C11)</f>
        <v>351500</v>
      </c>
      <c r="E12" s="38" t="n">
        <f aca="false">SUM(E7:E11)</f>
        <v>3427</v>
      </c>
      <c r="G12" s="38" t="n">
        <f aca="false">SUM(G7:G11)</f>
        <v>324112.974630929</v>
      </c>
    </row>
    <row r="14" customFormat="false" ht="15" hidden="false" customHeight="false" outlineLevel="0" collapsed="false">
      <c r="B14" s="58" t="s">
        <v>271</v>
      </c>
      <c r="C14" s="58"/>
      <c r="D14" s="58"/>
      <c r="E14" s="58"/>
      <c r="F14" s="58"/>
      <c r="G14" s="58"/>
      <c r="H14" s="58"/>
    </row>
    <row r="16" customFormat="false" ht="15" hidden="false" customHeight="false" outlineLevel="0" collapsed="false">
      <c r="B16" s="4" t="s">
        <v>272</v>
      </c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B17" s="11" t="s">
        <v>204</v>
      </c>
      <c r="C17" s="11" t="s">
        <v>79</v>
      </c>
      <c r="D17" s="11" t="s">
        <v>248</v>
      </c>
      <c r="E17" s="11" t="s">
        <v>273</v>
      </c>
    </row>
    <row r="18" customFormat="false" ht="15" hidden="false" customHeight="false" outlineLevel="0" collapsed="false">
      <c r="B18" s="18" t="s">
        <v>274</v>
      </c>
      <c r="C18" s="25" t="n">
        <f aca="false">('5. Net Worth'!C8)</f>
        <v>15000</v>
      </c>
      <c r="D18" s="24" t="n">
        <v>45000</v>
      </c>
      <c r="E18" s="25" t="n">
        <f aca="false">D18-C18</f>
        <v>30000</v>
      </c>
    </row>
    <row r="19" customFormat="false" ht="15" hidden="false" customHeight="false" outlineLevel="0" collapsed="false">
      <c r="B19" s="18" t="s">
        <v>275</v>
      </c>
      <c r="C19" s="25" t="n">
        <f aca="false">'4. Cash Flow'!C30</f>
        <v>7565</v>
      </c>
    </row>
    <row r="20" customFormat="false" ht="15" hidden="false" customHeight="false" outlineLevel="0" collapsed="false">
      <c r="B20" s="18" t="s">
        <v>276</v>
      </c>
      <c r="C20" s="56" t="n">
        <f aca="false">C18/C19</f>
        <v>1.98281559814937</v>
      </c>
      <c r="D20" s="23" t="n">
        <v>6</v>
      </c>
      <c r="E20" s="56" t="n">
        <f aca="false">D20-C20</f>
        <v>4.01718440185063</v>
      </c>
    </row>
    <row r="21" customFormat="false" ht="15" hidden="false" customHeight="false" outlineLevel="0" collapsed="false">
      <c r="B21" s="18" t="s">
        <v>277</v>
      </c>
      <c r="C21" s="24" t="n">
        <v>500</v>
      </c>
    </row>
    <row r="22" customFormat="false" ht="15" hidden="false" customHeight="false" outlineLevel="0" collapsed="false">
      <c r="B22" s="18" t="s">
        <v>278</v>
      </c>
      <c r="C22" s="56" t="n">
        <f aca="false">(D18-C18)/C21</f>
        <v>60</v>
      </c>
    </row>
    <row r="24" customFormat="false" ht="15" hidden="false" customHeight="false" outlineLevel="0" collapsed="false">
      <c r="B24" s="4" t="s">
        <v>279</v>
      </c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B25" s="6" t="s">
        <v>280</v>
      </c>
      <c r="C25" s="6"/>
      <c r="D25" s="6"/>
      <c r="E25" s="6"/>
      <c r="F25" s="6"/>
      <c r="G25" s="6"/>
      <c r="H25" s="6"/>
    </row>
    <row r="26" customFormat="false" ht="15" hidden="false" customHeight="false" outlineLevel="0" collapsed="false">
      <c r="B26" s="6" t="s">
        <v>281</v>
      </c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B27" s="6" t="s">
        <v>282</v>
      </c>
      <c r="C27" s="6"/>
      <c r="D27" s="6"/>
      <c r="E27" s="6"/>
      <c r="F27" s="6"/>
      <c r="G27" s="6"/>
      <c r="H27" s="6"/>
    </row>
    <row r="28" customFormat="false" ht="15" hidden="false" customHeight="false" outlineLevel="0" collapsed="false">
      <c r="B28" s="6" t="s">
        <v>283</v>
      </c>
      <c r="C28" s="6"/>
      <c r="D28" s="6"/>
      <c r="E28" s="6"/>
      <c r="F28" s="6"/>
      <c r="G28" s="6"/>
      <c r="H28" s="6"/>
    </row>
    <row r="29" customFormat="false" ht="15" hidden="false" customHeight="false" outlineLevel="0" collapsed="false">
      <c r="B29" s="6" t="s">
        <v>284</v>
      </c>
      <c r="C29" s="6"/>
      <c r="D29" s="6"/>
      <c r="E29" s="6"/>
      <c r="F29" s="6"/>
      <c r="G29" s="6"/>
      <c r="H29" s="6"/>
    </row>
  </sheetData>
  <mergeCells count="11">
    <mergeCell ref="B2:H2"/>
    <mergeCell ref="B3:H3"/>
    <mergeCell ref="B5:H5"/>
    <mergeCell ref="B14:H14"/>
    <mergeCell ref="B16:H16"/>
    <mergeCell ref="B24:H24"/>
    <mergeCell ref="B25:H25"/>
    <mergeCell ref="B26:H26"/>
    <mergeCell ref="B27:H27"/>
    <mergeCell ref="B28:H28"/>
    <mergeCell ref="B29:H29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2" topLeftCell="A2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8" min="3" style="0" width="16"/>
    <col collapsed="false" customWidth="true" hidden="true" outlineLevel="0" max="10" min="10" style="0" width="13"/>
  </cols>
  <sheetData>
    <row r="1" customFormat="false" ht="15" hidden="false" customHeight="false" outlineLevel="0" collapsed="false">
      <c r="J1" s="34" t="n">
        <f aca="false">D9</f>
        <v>120000</v>
      </c>
    </row>
    <row r="2" customFormat="false" ht="24" hidden="false" customHeight="true" outlineLevel="0" collapsed="false">
      <c r="B2" s="1" t="s">
        <v>285</v>
      </c>
      <c r="C2" s="1"/>
      <c r="D2" s="1"/>
      <c r="E2" s="1"/>
      <c r="F2" s="1"/>
      <c r="G2" s="1"/>
      <c r="H2" s="1"/>
      <c r="J2" s="34" t="n">
        <f aca="false">C19-F55</f>
        <v>174617.896011534</v>
      </c>
    </row>
    <row r="3" customFormat="false" ht="15" hidden="false" customHeight="false" outlineLevel="0" collapsed="false">
      <c r="B3" s="2" t="s">
        <v>286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4" t="s">
        <v>287</v>
      </c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B6" s="11" t="s">
        <v>288</v>
      </c>
      <c r="C6" s="11" t="s">
        <v>289</v>
      </c>
      <c r="D6" s="11" t="s">
        <v>236</v>
      </c>
    </row>
    <row r="7" customFormat="false" ht="15" hidden="false" customHeight="false" outlineLevel="0" collapsed="false">
      <c r="B7" s="18" t="s">
        <v>226</v>
      </c>
      <c r="C7" s="26" t="s">
        <v>290</v>
      </c>
      <c r="D7" s="24" t="n">
        <v>85000</v>
      </c>
    </row>
    <row r="8" customFormat="false" ht="15" hidden="false" customHeight="false" outlineLevel="0" collapsed="false">
      <c r="B8" s="18" t="s">
        <v>227</v>
      </c>
      <c r="C8" s="26" t="s">
        <v>291</v>
      </c>
      <c r="D8" s="24" t="n">
        <v>35000</v>
      </c>
    </row>
    <row r="9" customFormat="false" ht="15" hidden="false" customHeight="false" outlineLevel="0" collapsed="false">
      <c r="B9" s="37" t="s">
        <v>292</v>
      </c>
      <c r="D9" s="47" t="n">
        <f aca="false">SUM(D7:D8)</f>
        <v>120000</v>
      </c>
    </row>
    <row r="11" customFormat="false" ht="15" hidden="false" customHeight="false" outlineLevel="0" collapsed="false">
      <c r="B11" s="4" t="s">
        <v>293</v>
      </c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B12" s="11" t="s">
        <v>294</v>
      </c>
      <c r="C12" s="11" t="s">
        <v>79</v>
      </c>
      <c r="D12" s="11" t="s">
        <v>80</v>
      </c>
    </row>
    <row r="13" customFormat="false" ht="15" hidden="false" customHeight="false" outlineLevel="0" collapsed="false">
      <c r="B13" s="18" t="s">
        <v>295</v>
      </c>
      <c r="C13" s="29" t="n">
        <v>29</v>
      </c>
      <c r="D13" s="28" t="s">
        <v>296</v>
      </c>
    </row>
    <row r="14" customFormat="false" ht="15" hidden="false" customHeight="false" outlineLevel="0" collapsed="false">
      <c r="B14" s="18" t="s">
        <v>297</v>
      </c>
      <c r="C14" s="30" t="n">
        <v>5400</v>
      </c>
      <c r="D14" s="28" t="s">
        <v>298</v>
      </c>
    </row>
    <row r="15" customFormat="false" ht="15" hidden="false" customHeight="false" outlineLevel="0" collapsed="false">
      <c r="B15" s="18" t="s">
        <v>299</v>
      </c>
      <c r="C15" s="30" t="n">
        <v>25000</v>
      </c>
      <c r="D15" s="28" t="s">
        <v>300</v>
      </c>
    </row>
    <row r="16" customFormat="false" ht="15" hidden="false" customHeight="false" outlineLevel="0" collapsed="false">
      <c r="B16" s="18" t="s">
        <v>301</v>
      </c>
      <c r="C16" s="27" t="n">
        <v>0.05</v>
      </c>
      <c r="D16" s="28" t="s">
        <v>302</v>
      </c>
    </row>
    <row r="17" customFormat="false" ht="15" hidden="false" customHeight="false" outlineLevel="0" collapsed="false">
      <c r="B17" s="18" t="s">
        <v>303</v>
      </c>
      <c r="C17" s="27" t="n">
        <v>0.07</v>
      </c>
      <c r="D17" s="28" t="s">
        <v>304</v>
      </c>
    </row>
    <row r="18" customFormat="false" ht="15" hidden="false" customHeight="false" outlineLevel="0" collapsed="false">
      <c r="B18" s="18" t="s">
        <v>305</v>
      </c>
      <c r="C18" s="27" t="n">
        <v>0.09</v>
      </c>
      <c r="D18" s="28" t="s">
        <v>306</v>
      </c>
    </row>
    <row r="19" customFormat="false" ht="15" hidden="false" customHeight="false" outlineLevel="0" collapsed="false">
      <c r="B19" s="18" t="s">
        <v>307</v>
      </c>
      <c r="C19" s="30" t="n">
        <v>1500000</v>
      </c>
      <c r="D19" s="28" t="s">
        <v>308</v>
      </c>
    </row>
    <row r="21" customFormat="false" ht="15" hidden="false" customHeight="false" outlineLevel="0" collapsed="false">
      <c r="B21" s="4" t="s">
        <v>309</v>
      </c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B22" s="11" t="s">
        <v>310</v>
      </c>
      <c r="C22" s="11" t="s">
        <v>58</v>
      </c>
      <c r="D22" s="11" t="s">
        <v>311</v>
      </c>
      <c r="E22" s="11" t="s">
        <v>312</v>
      </c>
      <c r="F22" s="11" t="s">
        <v>313</v>
      </c>
      <c r="G22" s="11" t="s">
        <v>314</v>
      </c>
      <c r="H22" s="11" t="s">
        <v>248</v>
      </c>
    </row>
    <row r="23" customFormat="false" ht="15" hidden="false" customHeight="false" outlineLevel="0" collapsed="false">
      <c r="B23" s="59" t="n">
        <v>0</v>
      </c>
      <c r="C23" s="60" t="n">
        <f aca="false">B23+38</f>
        <v>38</v>
      </c>
      <c r="D23" s="61" t="n">
        <f aca="false">$D$9</f>
        <v>120000</v>
      </c>
      <c r="E23" s="61" t="n">
        <f aca="false">$D$9</f>
        <v>120000</v>
      </c>
      <c r="F23" s="61" t="n">
        <f aca="false">$D$9</f>
        <v>120000</v>
      </c>
      <c r="G23" s="61" t="n">
        <f aca="false">$D$9</f>
        <v>120000</v>
      </c>
      <c r="H23" s="61" t="n">
        <f aca="false">$C$19</f>
        <v>1500000</v>
      </c>
    </row>
    <row r="24" customFormat="false" ht="15" hidden="false" customHeight="false" outlineLevel="0" collapsed="false">
      <c r="B24" s="59" t="n">
        <v>1</v>
      </c>
      <c r="C24" s="60" t="n">
        <f aca="false">B24+38</f>
        <v>39</v>
      </c>
      <c r="D24" s="61" t="n">
        <f aca="false">D23*(1+$C$16)+$C$15</f>
        <v>151000</v>
      </c>
      <c r="E24" s="61" t="n">
        <f aca="false">E23*(1+$C$17)+$C$15</f>
        <v>153400</v>
      </c>
      <c r="F24" s="61" t="n">
        <f aca="false">F23*(1+$C$18)+$C$15</f>
        <v>155800</v>
      </c>
      <c r="G24" s="61" t="n">
        <f aca="false">G23*(1+$C$17)+$C$14</f>
        <v>133800</v>
      </c>
      <c r="H24" s="61" t="n">
        <f aca="false">$C$19</f>
        <v>1500000</v>
      </c>
    </row>
    <row r="25" customFormat="false" ht="15" hidden="false" customHeight="false" outlineLevel="0" collapsed="false">
      <c r="B25" s="59" t="n">
        <v>2</v>
      </c>
      <c r="C25" s="60" t="n">
        <f aca="false">B25+38</f>
        <v>40</v>
      </c>
      <c r="D25" s="61" t="n">
        <f aca="false">D24*(1+$C$16)+$C$15</f>
        <v>183550</v>
      </c>
      <c r="E25" s="61" t="n">
        <f aca="false">E24*(1+$C$17)+$C$15</f>
        <v>189138</v>
      </c>
      <c r="F25" s="61" t="n">
        <f aca="false">F24*(1+$C$18)+$C$15</f>
        <v>194822</v>
      </c>
      <c r="G25" s="61" t="n">
        <f aca="false">G24*(1+$C$17)+$C$14</f>
        <v>148566</v>
      </c>
      <c r="H25" s="61" t="n">
        <f aca="false">$C$19</f>
        <v>1500000</v>
      </c>
    </row>
    <row r="26" customFormat="false" ht="15" hidden="false" customHeight="false" outlineLevel="0" collapsed="false">
      <c r="B26" s="59" t="n">
        <v>3</v>
      </c>
      <c r="C26" s="60" t="n">
        <f aca="false">B26+38</f>
        <v>41</v>
      </c>
      <c r="D26" s="61" t="n">
        <f aca="false">D25*(1+$C$16)+$C$15</f>
        <v>217727.5</v>
      </c>
      <c r="E26" s="61" t="n">
        <f aca="false">E25*(1+$C$17)+$C$15</f>
        <v>227377.66</v>
      </c>
      <c r="F26" s="61" t="n">
        <f aca="false">F25*(1+$C$18)+$C$15</f>
        <v>237355.98</v>
      </c>
      <c r="G26" s="61" t="n">
        <f aca="false">G25*(1+$C$17)+$C$14</f>
        <v>164365.62</v>
      </c>
      <c r="H26" s="61" t="n">
        <f aca="false">$C$19</f>
        <v>1500000</v>
      </c>
    </row>
    <row r="27" customFormat="false" ht="15" hidden="false" customHeight="false" outlineLevel="0" collapsed="false">
      <c r="B27" s="59" t="n">
        <v>4</v>
      </c>
      <c r="C27" s="60" t="n">
        <f aca="false">B27+38</f>
        <v>42</v>
      </c>
      <c r="D27" s="61" t="n">
        <f aca="false">D26*(1+$C$16)+$C$15</f>
        <v>253613.875</v>
      </c>
      <c r="E27" s="61" t="n">
        <f aca="false">E26*(1+$C$17)+$C$15</f>
        <v>268294.0962</v>
      </c>
      <c r="F27" s="61" t="n">
        <f aca="false">F26*(1+$C$18)+$C$15</f>
        <v>283718.0182</v>
      </c>
      <c r="G27" s="61" t="n">
        <f aca="false">G26*(1+$C$17)+$C$14</f>
        <v>181271.2134</v>
      </c>
      <c r="H27" s="61" t="n">
        <f aca="false">$C$19</f>
        <v>1500000</v>
      </c>
    </row>
    <row r="28" customFormat="false" ht="15" hidden="false" customHeight="false" outlineLevel="0" collapsed="false">
      <c r="B28" s="59" t="n">
        <v>5</v>
      </c>
      <c r="C28" s="60" t="n">
        <f aca="false">B28+38</f>
        <v>43</v>
      </c>
      <c r="D28" s="61" t="n">
        <f aca="false">D27*(1+$C$16)+$C$15</f>
        <v>291294.56875</v>
      </c>
      <c r="E28" s="61" t="n">
        <f aca="false">E27*(1+$C$17)+$C$15</f>
        <v>312074.682934</v>
      </c>
      <c r="F28" s="61" t="n">
        <f aca="false">F27*(1+$C$18)+$C$15</f>
        <v>334252.639838</v>
      </c>
      <c r="G28" s="61" t="n">
        <f aca="false">G27*(1+$C$17)+$C$14</f>
        <v>199360.198338</v>
      </c>
      <c r="H28" s="61" t="n">
        <f aca="false">$C$19</f>
        <v>1500000</v>
      </c>
    </row>
    <row r="29" customFormat="false" ht="15" hidden="false" customHeight="false" outlineLevel="0" collapsed="false">
      <c r="B29" s="59" t="n">
        <v>6</v>
      </c>
      <c r="C29" s="60" t="n">
        <f aca="false">B29+38</f>
        <v>44</v>
      </c>
      <c r="D29" s="61" t="n">
        <f aca="false">D28*(1+$C$16)+$C$15</f>
        <v>330859.2971875</v>
      </c>
      <c r="E29" s="61" t="n">
        <f aca="false">E28*(1+$C$17)+$C$15</f>
        <v>358919.91073938</v>
      </c>
      <c r="F29" s="61" t="n">
        <f aca="false">F28*(1+$C$18)+$C$15</f>
        <v>389335.37742342</v>
      </c>
      <c r="G29" s="61" t="n">
        <f aca="false">G28*(1+$C$17)+$C$14</f>
        <v>218715.41222166</v>
      </c>
      <c r="H29" s="61" t="n">
        <f aca="false">$C$19</f>
        <v>1500000</v>
      </c>
    </row>
    <row r="30" customFormat="false" ht="15" hidden="false" customHeight="false" outlineLevel="0" collapsed="false">
      <c r="B30" s="59" t="n">
        <v>7</v>
      </c>
      <c r="C30" s="60" t="n">
        <f aca="false">B30+38</f>
        <v>45</v>
      </c>
      <c r="D30" s="61" t="n">
        <f aca="false">D29*(1+$C$16)+$C$15</f>
        <v>372402.262046875</v>
      </c>
      <c r="E30" s="61" t="n">
        <f aca="false">E29*(1+$C$17)+$C$15</f>
        <v>409044.304491137</v>
      </c>
      <c r="F30" s="61" t="n">
        <f aca="false">F29*(1+$C$18)+$C$15</f>
        <v>449375.561391528</v>
      </c>
      <c r="G30" s="61" t="n">
        <f aca="false">G29*(1+$C$17)+$C$14</f>
        <v>239425.491077176</v>
      </c>
      <c r="H30" s="61" t="n">
        <f aca="false">$C$19</f>
        <v>1500000</v>
      </c>
    </row>
    <row r="31" customFormat="false" ht="15" hidden="false" customHeight="false" outlineLevel="0" collapsed="false">
      <c r="B31" s="59" t="n">
        <v>8</v>
      </c>
      <c r="C31" s="60" t="n">
        <f aca="false">B31+38</f>
        <v>46</v>
      </c>
      <c r="D31" s="61" t="n">
        <f aca="false">D30*(1+$C$16)+$C$15</f>
        <v>416022.375149219</v>
      </c>
      <c r="E31" s="61" t="n">
        <f aca="false">E30*(1+$C$17)+$C$15</f>
        <v>462677.405805516</v>
      </c>
      <c r="F31" s="61" t="n">
        <f aca="false">F30*(1+$C$18)+$C$15</f>
        <v>514819.361916766</v>
      </c>
      <c r="G31" s="61" t="n">
        <f aca="false">G30*(1+$C$17)+$C$14</f>
        <v>261585.275452579</v>
      </c>
      <c r="H31" s="61" t="n">
        <f aca="false">$C$19</f>
        <v>1500000</v>
      </c>
    </row>
    <row r="32" customFormat="false" ht="15" hidden="false" customHeight="false" outlineLevel="0" collapsed="false">
      <c r="B32" s="59" t="n">
        <v>9</v>
      </c>
      <c r="C32" s="60" t="n">
        <f aca="false">B32+38</f>
        <v>47</v>
      </c>
      <c r="D32" s="61" t="n">
        <f aca="false">D31*(1+$C$16)+$C$15</f>
        <v>461823.49390668</v>
      </c>
      <c r="E32" s="61" t="n">
        <f aca="false">E31*(1+$C$17)+$C$15</f>
        <v>520064.824211902</v>
      </c>
      <c r="F32" s="61" t="n">
        <f aca="false">F31*(1+$C$18)+$C$15</f>
        <v>586153.104489274</v>
      </c>
      <c r="G32" s="61" t="n">
        <f aca="false">G31*(1+$C$17)+$C$14</f>
        <v>285296.244734259</v>
      </c>
      <c r="H32" s="61" t="n">
        <f aca="false">$C$19</f>
        <v>1500000</v>
      </c>
    </row>
    <row r="33" customFormat="false" ht="15" hidden="false" customHeight="false" outlineLevel="0" collapsed="false">
      <c r="B33" s="59" t="n">
        <v>10</v>
      </c>
      <c r="C33" s="60" t="n">
        <f aca="false">B33+38</f>
        <v>48</v>
      </c>
      <c r="D33" s="61" t="n">
        <f aca="false">D32*(1+$C$16)+$C$15</f>
        <v>509914.668602014</v>
      </c>
      <c r="E33" s="61" t="n">
        <f aca="false">E32*(1+$C$17)+$C$15</f>
        <v>581469.361906736</v>
      </c>
      <c r="F33" s="61" t="n">
        <f aca="false">F32*(1+$C$18)+$C$15</f>
        <v>663906.883893309</v>
      </c>
      <c r="G33" s="61" t="n">
        <f aca="false">G32*(1+$C$17)+$C$14</f>
        <v>310666.981865657</v>
      </c>
      <c r="H33" s="61" t="n">
        <f aca="false">$C$19</f>
        <v>1500000</v>
      </c>
    </row>
    <row r="34" customFormat="false" ht="15" hidden="false" customHeight="false" outlineLevel="0" collapsed="false">
      <c r="B34" s="59" t="n">
        <v>11</v>
      </c>
      <c r="C34" s="60" t="n">
        <f aca="false">B34+38</f>
        <v>49</v>
      </c>
      <c r="D34" s="61" t="n">
        <f aca="false">D33*(1+$C$16)+$C$15</f>
        <v>560410.402032114</v>
      </c>
      <c r="E34" s="61" t="n">
        <f aca="false">E33*(1+$C$17)+$C$15</f>
        <v>647172.217240207</v>
      </c>
      <c r="F34" s="61" t="n">
        <f aca="false">F33*(1+$C$18)+$C$15</f>
        <v>748658.503443707</v>
      </c>
      <c r="G34" s="61" t="n">
        <f aca="false">G33*(1+$C$17)+$C$14</f>
        <v>337813.670596253</v>
      </c>
      <c r="H34" s="61" t="n">
        <f aca="false">$C$19</f>
        <v>1500000</v>
      </c>
    </row>
    <row r="35" customFormat="false" ht="15" hidden="false" customHeight="false" outlineLevel="0" collapsed="false">
      <c r="B35" s="59" t="n">
        <v>12</v>
      </c>
      <c r="C35" s="60" t="n">
        <f aca="false">B35+38</f>
        <v>50</v>
      </c>
      <c r="D35" s="61" t="n">
        <f aca="false">D34*(1+$C$16)+$C$15</f>
        <v>613430.92213372</v>
      </c>
      <c r="E35" s="61" t="n">
        <f aca="false">E34*(1+$C$17)+$C$15</f>
        <v>717474.272447022</v>
      </c>
      <c r="F35" s="61" t="n">
        <f aca="false">F34*(1+$C$18)+$C$15</f>
        <v>841037.768753641</v>
      </c>
      <c r="G35" s="61" t="n">
        <f aca="false">G34*(1+$C$17)+$C$14</f>
        <v>366860.627537991</v>
      </c>
      <c r="H35" s="61" t="n">
        <f aca="false">$C$19</f>
        <v>1500000</v>
      </c>
    </row>
    <row r="36" customFormat="false" ht="15" hidden="false" customHeight="false" outlineLevel="0" collapsed="false">
      <c r="B36" s="59" t="n">
        <v>13</v>
      </c>
      <c r="C36" s="60" t="n">
        <f aca="false">B36+38</f>
        <v>51</v>
      </c>
      <c r="D36" s="61" t="n">
        <f aca="false">D35*(1+$C$16)+$C$15</f>
        <v>669102.468240406</v>
      </c>
      <c r="E36" s="61" t="n">
        <f aca="false">E35*(1+$C$17)+$C$15</f>
        <v>792697.471518313</v>
      </c>
      <c r="F36" s="61" t="n">
        <f aca="false">F35*(1+$C$18)+$C$15</f>
        <v>941731.167941468</v>
      </c>
      <c r="G36" s="61" t="n">
        <f aca="false">G35*(1+$C$17)+$C$14</f>
        <v>397940.87146565</v>
      </c>
      <c r="H36" s="61" t="n">
        <f aca="false">$C$19</f>
        <v>1500000</v>
      </c>
    </row>
    <row r="37" customFormat="false" ht="15" hidden="false" customHeight="false" outlineLevel="0" collapsed="false">
      <c r="B37" s="59" t="n">
        <v>14</v>
      </c>
      <c r="C37" s="60" t="n">
        <f aca="false">B37+38</f>
        <v>52</v>
      </c>
      <c r="D37" s="61" t="n">
        <f aca="false">D36*(1+$C$16)+$C$15</f>
        <v>727557.591652427</v>
      </c>
      <c r="E37" s="61" t="n">
        <f aca="false">E36*(1+$C$17)+$C$15</f>
        <v>873186.294524595</v>
      </c>
      <c r="F37" s="61" t="n">
        <f aca="false">F36*(1+$C$18)+$C$15</f>
        <v>1051486.9730562</v>
      </c>
      <c r="G37" s="61" t="n">
        <f aca="false">G36*(1+$C$17)+$C$14</f>
        <v>431196.732468246</v>
      </c>
      <c r="H37" s="61" t="n">
        <f aca="false">$C$19</f>
        <v>1500000</v>
      </c>
    </row>
    <row r="38" customFormat="false" ht="15" hidden="false" customHeight="false" outlineLevel="0" collapsed="false">
      <c r="B38" s="59" t="n">
        <v>15</v>
      </c>
      <c r="C38" s="60" t="n">
        <f aca="false">B38+38</f>
        <v>53</v>
      </c>
      <c r="D38" s="61" t="n">
        <f aca="false">D37*(1+$C$16)+$C$15</f>
        <v>788935.471235048</v>
      </c>
      <c r="E38" s="61" t="n">
        <f aca="false">E37*(1+$C$17)+$C$15</f>
        <v>959309.335141317</v>
      </c>
      <c r="F38" s="61" t="n">
        <f aca="false">F37*(1+$C$18)+$C$15</f>
        <v>1171120.80063126</v>
      </c>
      <c r="G38" s="61" t="n">
        <f aca="false">G37*(1+$C$17)+$C$14</f>
        <v>466780.503741023</v>
      </c>
      <c r="H38" s="61" t="n">
        <f aca="false">$C$19</f>
        <v>1500000</v>
      </c>
    </row>
    <row r="39" customFormat="false" ht="15" hidden="false" customHeight="false" outlineLevel="0" collapsed="false">
      <c r="B39" s="59" t="n">
        <v>16</v>
      </c>
      <c r="C39" s="60" t="n">
        <f aca="false">B39+38</f>
        <v>54</v>
      </c>
      <c r="D39" s="61" t="n">
        <f aca="false">D38*(1+$C$16)+$C$15</f>
        <v>853382.2447968</v>
      </c>
      <c r="E39" s="61" t="n">
        <f aca="false">E38*(1+$C$17)+$C$15</f>
        <v>1051460.98860121</v>
      </c>
      <c r="F39" s="61" t="n">
        <f aca="false">F38*(1+$C$18)+$C$15</f>
        <v>1301521.67268807</v>
      </c>
      <c r="G39" s="61" t="n">
        <f aca="false">G38*(1+$C$17)+$C$14</f>
        <v>504855.139002895</v>
      </c>
      <c r="H39" s="61" t="n">
        <f aca="false">$C$19</f>
        <v>1500000</v>
      </c>
    </row>
    <row r="40" customFormat="false" ht="15" hidden="false" customHeight="false" outlineLevel="0" collapsed="false">
      <c r="B40" s="59" t="n">
        <v>17</v>
      </c>
      <c r="C40" s="60" t="n">
        <f aca="false">B40+38</f>
        <v>55</v>
      </c>
      <c r="D40" s="61" t="n">
        <f aca="false">D39*(1+$C$16)+$C$15</f>
        <v>921051.357036641</v>
      </c>
      <c r="E40" s="61" t="n">
        <f aca="false">E39*(1+$C$17)+$C$15</f>
        <v>1150063.25780329</v>
      </c>
      <c r="F40" s="61" t="n">
        <f aca="false">F39*(1+$C$18)+$C$15</f>
        <v>1443658.62323</v>
      </c>
      <c r="G40" s="61" t="n">
        <f aca="false">G39*(1+$C$17)+$C$14</f>
        <v>545594.998733098</v>
      </c>
      <c r="H40" s="61" t="n">
        <f aca="false">$C$19</f>
        <v>1500000</v>
      </c>
    </row>
    <row r="41" customFormat="false" ht="15" hidden="false" customHeight="false" outlineLevel="0" collapsed="false">
      <c r="B41" s="59" t="n">
        <v>18</v>
      </c>
      <c r="C41" s="60" t="n">
        <f aca="false">B41+38</f>
        <v>56</v>
      </c>
      <c r="D41" s="61" t="n">
        <f aca="false">D40*(1+$C$16)+$C$15</f>
        <v>992103.924888473</v>
      </c>
      <c r="E41" s="61" t="n">
        <f aca="false">E40*(1+$C$17)+$C$15</f>
        <v>1255567.68584952</v>
      </c>
      <c r="F41" s="61" t="n">
        <f aca="false">F40*(1+$C$18)+$C$15</f>
        <v>1598587.8993207</v>
      </c>
      <c r="G41" s="61" t="n">
        <f aca="false">G40*(1+$C$17)+$C$14</f>
        <v>589186.648644414</v>
      </c>
      <c r="H41" s="61" t="n">
        <f aca="false">$C$19</f>
        <v>1500000</v>
      </c>
    </row>
    <row r="42" customFormat="false" ht="15" hidden="false" customHeight="false" outlineLevel="0" collapsed="false">
      <c r="B42" s="59" t="n">
        <v>19</v>
      </c>
      <c r="C42" s="60" t="n">
        <f aca="false">B42+38</f>
        <v>57</v>
      </c>
      <c r="D42" s="61" t="n">
        <f aca="false">D41*(1+$C$16)+$C$15</f>
        <v>1066709.1211329</v>
      </c>
      <c r="E42" s="61" t="n">
        <f aca="false">E41*(1+$C$17)+$C$15</f>
        <v>1368457.42385899</v>
      </c>
      <c r="F42" s="61" t="n">
        <f aca="false">F41*(1+$C$18)+$C$15</f>
        <v>1767460.81025956</v>
      </c>
      <c r="G42" s="61" t="n">
        <f aca="false">G41*(1+$C$17)+$C$14</f>
        <v>635829.714049524</v>
      </c>
      <c r="H42" s="61" t="n">
        <f aca="false">$C$19</f>
        <v>1500000</v>
      </c>
    </row>
    <row r="43" customFormat="false" ht="15" hidden="false" customHeight="false" outlineLevel="0" collapsed="false">
      <c r="B43" s="59" t="n">
        <v>20</v>
      </c>
      <c r="C43" s="60" t="n">
        <f aca="false">B43+38</f>
        <v>58</v>
      </c>
      <c r="D43" s="61" t="n">
        <f aca="false">D42*(1+$C$16)+$C$15</f>
        <v>1145044.57718954</v>
      </c>
      <c r="E43" s="61" t="n">
        <f aca="false">E42*(1+$C$17)+$C$15</f>
        <v>1489249.44352912</v>
      </c>
      <c r="F43" s="61" t="n">
        <f aca="false">F42*(1+$C$18)+$C$15</f>
        <v>1951532.28318292</v>
      </c>
      <c r="G43" s="61" t="n">
        <f aca="false">G42*(1+$C$17)+$C$14</f>
        <v>685737.79403299</v>
      </c>
      <c r="H43" s="61" t="n">
        <f aca="false">$C$19</f>
        <v>1500000</v>
      </c>
    </row>
    <row r="44" customFormat="false" ht="15" hidden="false" customHeight="false" outlineLevel="0" collapsed="false">
      <c r="B44" s="59" t="n">
        <v>21</v>
      </c>
      <c r="C44" s="60" t="n">
        <f aca="false">B44+38</f>
        <v>59</v>
      </c>
      <c r="D44" s="61" t="n">
        <f aca="false">D43*(1+$C$16)+$C$15</f>
        <v>1227296.80604902</v>
      </c>
      <c r="E44" s="61" t="n">
        <f aca="false">E43*(1+$C$17)+$C$15</f>
        <v>1618496.90457616</v>
      </c>
      <c r="F44" s="61" t="n">
        <f aca="false">F43*(1+$C$18)+$C$15</f>
        <v>2152170.18866939</v>
      </c>
      <c r="G44" s="61" t="n">
        <f aca="false">G43*(1+$C$17)+$C$14</f>
        <v>739139.4396153</v>
      </c>
      <c r="H44" s="61" t="n">
        <f aca="false">$C$19</f>
        <v>1500000</v>
      </c>
    </row>
    <row r="45" customFormat="false" ht="15" hidden="false" customHeight="false" outlineLevel="0" collapsed="false">
      <c r="B45" s="59" t="n">
        <v>22</v>
      </c>
      <c r="C45" s="60" t="n">
        <f aca="false">B45+38</f>
        <v>60</v>
      </c>
      <c r="D45" s="61" t="n">
        <f aca="false">D44*(1+$C$16)+$C$15</f>
        <v>1313661.64635147</v>
      </c>
      <c r="E45" s="61" t="n">
        <f aca="false">E44*(1+$C$17)+$C$15</f>
        <v>1756791.68789649</v>
      </c>
      <c r="F45" s="61" t="n">
        <f aca="false">F44*(1+$C$18)+$C$15</f>
        <v>2370865.50564963</v>
      </c>
      <c r="G45" s="61" t="n">
        <f aca="false">G44*(1+$C$17)+$C$14</f>
        <v>796279.20038837</v>
      </c>
      <c r="H45" s="61" t="n">
        <f aca="false">$C$19</f>
        <v>1500000</v>
      </c>
    </row>
    <row r="46" customFormat="false" ht="15" hidden="false" customHeight="false" outlineLevel="0" collapsed="false">
      <c r="B46" s="59" t="n">
        <v>23</v>
      </c>
      <c r="C46" s="60" t="n">
        <f aca="false">B46+38</f>
        <v>61</v>
      </c>
      <c r="D46" s="61" t="n">
        <f aca="false">D45*(1+$C$16)+$C$15</f>
        <v>1404344.72866904</v>
      </c>
      <c r="E46" s="61" t="n">
        <f aca="false">E45*(1+$C$17)+$C$15</f>
        <v>1904767.10604925</v>
      </c>
      <c r="F46" s="61" t="n">
        <f aca="false">F45*(1+$C$18)+$C$15</f>
        <v>2609243.4011581</v>
      </c>
      <c r="G46" s="61" t="n">
        <f aca="false">G45*(1+$C$17)+$C$14</f>
        <v>857418.744415556</v>
      </c>
      <c r="H46" s="61" t="n">
        <f aca="false">$C$19</f>
        <v>1500000</v>
      </c>
    </row>
    <row r="47" customFormat="false" ht="15" hidden="false" customHeight="false" outlineLevel="0" collapsed="false">
      <c r="B47" s="59" t="n">
        <v>24</v>
      </c>
      <c r="C47" s="60" t="n">
        <f aca="false">B47+38</f>
        <v>62</v>
      </c>
      <c r="D47" s="61" t="n">
        <f aca="false">D46*(1+$C$16)+$C$15</f>
        <v>1499561.9651025</v>
      </c>
      <c r="E47" s="61" t="n">
        <f aca="false">E46*(1+$C$17)+$C$15</f>
        <v>2063100.80347269</v>
      </c>
      <c r="F47" s="61" t="n">
        <f aca="false">F46*(1+$C$18)+$C$15</f>
        <v>2869075.30726233</v>
      </c>
      <c r="G47" s="61" t="n">
        <f aca="false">G46*(1+$C$17)+$C$14</f>
        <v>922838.056524645</v>
      </c>
      <c r="H47" s="61" t="n">
        <f aca="false">$C$19</f>
        <v>1500000</v>
      </c>
    </row>
    <row r="48" customFormat="false" ht="15" hidden="false" customHeight="false" outlineLevel="0" collapsed="false">
      <c r="B48" s="59" t="n">
        <v>25</v>
      </c>
      <c r="C48" s="60" t="n">
        <f aca="false">B48+38</f>
        <v>63</v>
      </c>
      <c r="D48" s="61" t="n">
        <f aca="false">D47*(1+$C$16)+$C$15</f>
        <v>1599540.06335762</v>
      </c>
      <c r="E48" s="61" t="n">
        <f aca="false">E47*(1+$C$17)+$C$15</f>
        <v>2232517.85971578</v>
      </c>
      <c r="F48" s="61" t="n">
        <f aca="false">F47*(1+$C$18)+$C$15</f>
        <v>3152292.08491594</v>
      </c>
      <c r="G48" s="61" t="n">
        <f aca="false">G47*(1+$C$17)+$C$14</f>
        <v>992836.720481371</v>
      </c>
      <c r="H48" s="61" t="n">
        <f aca="false">$C$19</f>
        <v>1500000</v>
      </c>
    </row>
    <row r="49" customFormat="false" ht="15" hidden="false" customHeight="false" outlineLevel="0" collapsed="false">
      <c r="B49" s="59" t="n">
        <v>26</v>
      </c>
      <c r="C49" s="60" t="n">
        <f aca="false">B49+38</f>
        <v>64</v>
      </c>
      <c r="D49" s="61" t="n">
        <f aca="false">D48*(1+$C$16)+$C$15</f>
        <v>1704517.0665255</v>
      </c>
      <c r="E49" s="61" t="n">
        <f aca="false">E48*(1+$C$17)+$C$15</f>
        <v>2413794.10989589</v>
      </c>
      <c r="F49" s="61" t="n">
        <f aca="false">F48*(1+$C$18)+$C$15</f>
        <v>3460998.37255837</v>
      </c>
      <c r="G49" s="61" t="n">
        <f aca="false">G48*(1+$C$17)+$C$14</f>
        <v>1067735.29091507</v>
      </c>
      <c r="H49" s="61" t="n">
        <f aca="false">$C$19</f>
        <v>1500000</v>
      </c>
    </row>
    <row r="50" customFormat="false" ht="15" hidden="false" customHeight="false" outlineLevel="0" collapsed="false">
      <c r="B50" s="59" t="n">
        <v>27</v>
      </c>
      <c r="C50" s="60" t="n">
        <f aca="false">B50+38</f>
        <v>65</v>
      </c>
      <c r="D50" s="61" t="n">
        <f aca="false">D49*(1+$C$16)+$C$15</f>
        <v>1814742.91985178</v>
      </c>
      <c r="E50" s="61" t="n">
        <f aca="false">E49*(1+$C$17)+$C$15</f>
        <v>2607759.6975886</v>
      </c>
      <c r="F50" s="61" t="n">
        <f aca="false">F49*(1+$C$18)+$C$15</f>
        <v>3797488.22608862</v>
      </c>
      <c r="G50" s="61" t="n">
        <f aca="false">G49*(1+$C$17)+$C$14</f>
        <v>1147876.76127912</v>
      </c>
      <c r="H50" s="61" t="n">
        <f aca="false">$C$19</f>
        <v>1500000</v>
      </c>
    </row>
    <row r="51" customFormat="false" ht="15" hidden="false" customHeight="false" outlineLevel="0" collapsed="false">
      <c r="B51" s="59" t="n">
        <v>28</v>
      </c>
      <c r="C51" s="60" t="n">
        <f aca="false">B51+38</f>
        <v>66</v>
      </c>
      <c r="D51" s="61" t="n">
        <f aca="false">D50*(1+$C$16)+$C$15</f>
        <v>1930480.06584437</v>
      </c>
      <c r="E51" s="61" t="n">
        <f aca="false">E50*(1+$C$17)+$C$15</f>
        <v>2815302.8764198</v>
      </c>
      <c r="F51" s="61" t="n">
        <f aca="false">F50*(1+$C$18)+$C$15</f>
        <v>4164262.1664366</v>
      </c>
      <c r="G51" s="61" t="n">
        <f aca="false">G50*(1+$C$17)+$C$14</f>
        <v>1233628.13456866</v>
      </c>
      <c r="H51" s="61" t="n">
        <f aca="false">$C$19</f>
        <v>1500000</v>
      </c>
    </row>
    <row r="52" customFormat="false" ht="15" hidden="false" customHeight="false" outlineLevel="0" collapsed="false">
      <c r="B52" s="59" t="n">
        <v>29</v>
      </c>
      <c r="C52" s="60" t="n">
        <f aca="false">B52+38</f>
        <v>67</v>
      </c>
      <c r="D52" s="61" t="n">
        <f aca="false">D51*(1+$C$16)+$C$15</f>
        <v>2052004.06913658</v>
      </c>
      <c r="E52" s="61" t="n">
        <f aca="false">E51*(1+$C$17)+$C$15</f>
        <v>3037374.07776919</v>
      </c>
      <c r="F52" s="61" t="n">
        <f aca="false">F51*(1+$C$18)+$C$15</f>
        <v>4564045.7614159</v>
      </c>
      <c r="G52" s="61" t="n">
        <f aca="false">G51*(1+$C$17)+$C$14</f>
        <v>1325382.10398847</v>
      </c>
      <c r="H52" s="61" t="n">
        <f aca="false">$C$19</f>
        <v>1500000</v>
      </c>
    </row>
    <row r="53" customFormat="false" ht="15" hidden="false" customHeight="false" outlineLevel="0" collapsed="false">
      <c r="B53" s="4" t="s">
        <v>315</v>
      </c>
      <c r="C53" s="4"/>
      <c r="D53" s="4"/>
      <c r="E53" s="4"/>
      <c r="F53" s="4"/>
      <c r="G53" s="4"/>
      <c r="H53" s="4"/>
    </row>
    <row r="54" customFormat="false" ht="15" hidden="false" customHeight="false" outlineLevel="0" collapsed="false">
      <c r="B54" s="11" t="s">
        <v>316</v>
      </c>
      <c r="C54" s="11" t="s">
        <v>317</v>
      </c>
      <c r="D54" s="11" t="s">
        <v>318</v>
      </c>
      <c r="E54" s="11" t="s">
        <v>319</v>
      </c>
      <c r="F54" s="11" t="s">
        <v>320</v>
      </c>
      <c r="G54" s="11" t="s">
        <v>321</v>
      </c>
      <c r="H54" s="11" t="s">
        <v>322</v>
      </c>
    </row>
    <row r="55" customFormat="false" ht="15" hidden="false" customHeight="false" outlineLevel="0" collapsed="false">
      <c r="B55" s="18" t="s">
        <v>314</v>
      </c>
      <c r="C55" s="25" t="n">
        <f aca="false">D9</f>
        <v>120000</v>
      </c>
      <c r="D55" s="25" t="n">
        <f aca="false">C14</f>
        <v>5400</v>
      </c>
      <c r="E55" s="39" t="n">
        <f aca="false">C17</f>
        <v>0.07</v>
      </c>
      <c r="F55" s="25" t="n">
        <f aca="false">G52</f>
        <v>1325382.10398847</v>
      </c>
      <c r="G55" s="25" t="n">
        <f aca="false">G52*0.04</f>
        <v>53015.2841595386</v>
      </c>
      <c r="H55" s="17" t="str">
        <f aca="false">IF(F55&gt;=$C$19,"YES","NO")</f>
        <v>NO</v>
      </c>
    </row>
    <row r="56" customFormat="false" ht="15" hidden="false" customHeight="false" outlineLevel="0" collapsed="false">
      <c r="B56" s="18" t="s">
        <v>323</v>
      </c>
      <c r="C56" s="25" t="n">
        <f aca="false">D9</f>
        <v>120000</v>
      </c>
      <c r="D56" s="25" t="n">
        <f aca="false">C15</f>
        <v>25000</v>
      </c>
      <c r="E56" s="39" t="n">
        <f aca="false">C16</f>
        <v>0.05</v>
      </c>
      <c r="F56" s="25" t="n">
        <f aca="false">D52</f>
        <v>2052004.06913658</v>
      </c>
      <c r="G56" s="25" t="n">
        <f aca="false">D52*0.04</f>
        <v>82080.1627654634</v>
      </c>
      <c r="H56" s="17" t="str">
        <f aca="false">IF(F56&gt;=$C$19,"YES","NO")</f>
        <v>YES</v>
      </c>
    </row>
    <row r="57" customFormat="false" ht="15" hidden="false" customHeight="false" outlineLevel="0" collapsed="false">
      <c r="B57" s="18" t="s">
        <v>324</v>
      </c>
      <c r="C57" s="25" t="n">
        <f aca="false">D9</f>
        <v>120000</v>
      </c>
      <c r="D57" s="25" t="n">
        <f aca="false">C15</f>
        <v>25000</v>
      </c>
      <c r="E57" s="39" t="n">
        <f aca="false">C17</f>
        <v>0.07</v>
      </c>
      <c r="F57" s="25" t="n">
        <f aca="false">E52</f>
        <v>3037374.07776919</v>
      </c>
      <c r="G57" s="25" t="n">
        <f aca="false">E52*0.04</f>
        <v>121494.963110767</v>
      </c>
      <c r="H57" s="17" t="str">
        <f aca="false">IF(F57&gt;=$C$19,"YES","NO")</f>
        <v>YES</v>
      </c>
    </row>
    <row r="58" customFormat="false" ht="15" hidden="false" customHeight="false" outlineLevel="0" collapsed="false">
      <c r="B58" s="18" t="s">
        <v>325</v>
      </c>
      <c r="C58" s="25" t="n">
        <f aca="false">D9</f>
        <v>120000</v>
      </c>
      <c r="D58" s="25" t="n">
        <f aca="false">C15</f>
        <v>25000</v>
      </c>
      <c r="E58" s="39" t="n">
        <f aca="false">C18</f>
        <v>0.09</v>
      </c>
      <c r="F58" s="25" t="n">
        <f aca="false">F52</f>
        <v>4564045.7614159</v>
      </c>
      <c r="G58" s="25" t="n">
        <f aca="false">F52*0.04</f>
        <v>182561.830456636</v>
      </c>
      <c r="H58" s="17" t="str">
        <f aca="false">IF(F58&gt;=$C$19,"YES","NO")</f>
        <v>YES</v>
      </c>
    </row>
    <row r="60" customFormat="false" ht="15" hidden="false" customHeight="false" outlineLevel="0" collapsed="false">
      <c r="B60" s="4" t="s">
        <v>326</v>
      </c>
      <c r="C60" s="4"/>
      <c r="D60" s="4"/>
      <c r="E60" s="4"/>
      <c r="F60" s="4"/>
      <c r="G60" s="4"/>
      <c r="H60" s="4"/>
    </row>
    <row r="61" customFormat="false" ht="15" hidden="false" customHeight="false" outlineLevel="0" collapsed="false">
      <c r="B61" s="11" t="s">
        <v>204</v>
      </c>
      <c r="C61" s="11" t="s">
        <v>79</v>
      </c>
      <c r="D61" s="11"/>
      <c r="E61" s="11"/>
      <c r="F61" s="11"/>
      <c r="G61" s="11"/>
      <c r="H61" s="11"/>
    </row>
    <row r="62" customFormat="false" ht="15" hidden="false" customHeight="false" outlineLevel="0" collapsed="false">
      <c r="B62" s="18" t="s">
        <v>307</v>
      </c>
      <c r="C62" s="25" t="n">
        <f aca="false">C19</f>
        <v>1500000</v>
      </c>
    </row>
    <row r="63" customFormat="false" ht="15" hidden="false" customHeight="false" outlineLevel="0" collapsed="false">
      <c r="B63" s="18" t="s">
        <v>327</v>
      </c>
      <c r="C63" s="25" t="n">
        <f aca="false">F57</f>
        <v>3037374.07776919</v>
      </c>
    </row>
    <row r="64" customFormat="false" ht="15" hidden="false" customHeight="false" outlineLevel="0" collapsed="false">
      <c r="B64" s="18" t="s">
        <v>328</v>
      </c>
      <c r="C64" s="25" t="n">
        <f aca="false">F55</f>
        <v>1325382.10398847</v>
      </c>
    </row>
    <row r="65" customFormat="false" ht="15" hidden="false" customHeight="false" outlineLevel="0" collapsed="false">
      <c r="B65" s="18" t="s">
        <v>329</v>
      </c>
      <c r="C65" s="25" t="n">
        <f aca="false">C19-F57</f>
        <v>-1537374.07776919</v>
      </c>
    </row>
    <row r="66" customFormat="false" ht="15" hidden="false" customHeight="false" outlineLevel="0" collapsed="false">
      <c r="B66" s="18" t="s">
        <v>330</v>
      </c>
      <c r="C66" s="25" t="n">
        <f aca="false">C19-F55</f>
        <v>174617.896011534</v>
      </c>
    </row>
    <row r="67" customFormat="false" ht="15" hidden="false" customHeight="false" outlineLevel="0" collapsed="false">
      <c r="B67" s="18" t="s">
        <v>331</v>
      </c>
      <c r="C67" s="25" t="n">
        <f aca="false">(C19-D9*(1+C17)^29)/((1+C17)^29-1)*C17</f>
        <v>7399.13949027919</v>
      </c>
    </row>
  </sheetData>
  <mergeCells count="7">
    <mergeCell ref="B2:H2"/>
    <mergeCell ref="B3:H3"/>
    <mergeCell ref="B5:H5"/>
    <mergeCell ref="B11:H11"/>
    <mergeCell ref="B21:H21"/>
    <mergeCell ref="B53:H53"/>
    <mergeCell ref="B60:H60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6"/>
  </cols>
  <sheetData>
    <row r="2" customFormat="false" ht="24" hidden="false" customHeight="true" outlineLevel="0" collapsed="false">
      <c r="B2" s="1" t="s">
        <v>332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333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4" t="s">
        <v>334</v>
      </c>
      <c r="C5" s="4"/>
      <c r="D5" s="4"/>
      <c r="E5" s="4"/>
      <c r="F5" s="4"/>
    </row>
    <row r="6" customFormat="false" ht="15" hidden="false" customHeight="false" outlineLevel="0" collapsed="false">
      <c r="B6" s="11" t="s">
        <v>335</v>
      </c>
      <c r="C6" s="11" t="s">
        <v>336</v>
      </c>
      <c r="D6" s="11" t="s">
        <v>337</v>
      </c>
      <c r="E6" s="11" t="s">
        <v>338</v>
      </c>
      <c r="F6" s="11" t="s">
        <v>339</v>
      </c>
    </row>
    <row r="7" customFormat="false" ht="15" hidden="false" customHeight="false" outlineLevel="0" collapsed="false">
      <c r="B7" s="18" t="s">
        <v>340</v>
      </c>
      <c r="C7" s="24" t="n">
        <v>45000</v>
      </c>
      <c r="D7" s="39" t="n">
        <f aca="false">C7/$C$12</f>
        <v>0.375</v>
      </c>
      <c r="E7" s="27" t="n">
        <v>0.45</v>
      </c>
      <c r="F7" s="25" t="n">
        <f aca="false">E7*$C$12</f>
        <v>54000</v>
      </c>
    </row>
    <row r="8" customFormat="false" ht="15" hidden="false" customHeight="false" outlineLevel="0" collapsed="false">
      <c r="B8" s="18" t="s">
        <v>341</v>
      </c>
      <c r="C8" s="24" t="n">
        <v>15000</v>
      </c>
      <c r="D8" s="39" t="n">
        <f aca="false">C8/$C$12</f>
        <v>0.125</v>
      </c>
      <c r="E8" s="27" t="n">
        <v>0.15</v>
      </c>
      <c r="F8" s="25" t="n">
        <f aca="false">E8*$C$12</f>
        <v>18000</v>
      </c>
    </row>
    <row r="9" customFormat="false" ht="15" hidden="false" customHeight="false" outlineLevel="0" collapsed="false">
      <c r="B9" s="18" t="s">
        <v>342</v>
      </c>
      <c r="C9" s="24" t="n">
        <v>10000</v>
      </c>
      <c r="D9" s="39" t="n">
        <f aca="false">C9/$C$12</f>
        <v>0.0833333333333333</v>
      </c>
      <c r="E9" s="27" t="n">
        <v>0.1</v>
      </c>
      <c r="F9" s="25" t="n">
        <f aca="false">E9*$C$12</f>
        <v>12000</v>
      </c>
    </row>
    <row r="10" customFormat="false" ht="15" hidden="false" customHeight="false" outlineLevel="0" collapsed="false">
      <c r="B10" s="18" t="s">
        <v>343</v>
      </c>
      <c r="C10" s="24" t="n">
        <v>35000</v>
      </c>
      <c r="D10" s="39" t="n">
        <f aca="false">C10/$C$12</f>
        <v>0.291666666666667</v>
      </c>
      <c r="E10" s="27" t="n">
        <v>0.35</v>
      </c>
      <c r="F10" s="25" t="n">
        <f aca="false">E10*$C$12</f>
        <v>42000</v>
      </c>
    </row>
    <row r="11" customFormat="false" ht="15" hidden="false" customHeight="false" outlineLevel="0" collapsed="false">
      <c r="B11" s="18" t="s">
        <v>344</v>
      </c>
      <c r="C11" s="24" t="n">
        <v>15000</v>
      </c>
      <c r="D11" s="39" t="n">
        <f aca="false">C11/$C$12</f>
        <v>0.125</v>
      </c>
      <c r="E11" s="27" t="n">
        <v>0.15</v>
      </c>
      <c r="F11" s="25" t="n">
        <f aca="false">E11*$C$12</f>
        <v>18000</v>
      </c>
    </row>
    <row r="12" customFormat="false" ht="15" hidden="false" customHeight="false" outlineLevel="0" collapsed="false">
      <c r="B12" s="37" t="s">
        <v>345</v>
      </c>
      <c r="C12" s="47" t="n">
        <f aca="false">SUM(C7:C11)</f>
        <v>120000</v>
      </c>
      <c r="D12" s="40" t="n">
        <f aca="false">SUM(D7:D11)</f>
        <v>1</v>
      </c>
      <c r="E12" s="40" t="n">
        <f aca="false">SUM(E7:E11)</f>
        <v>1.2</v>
      </c>
      <c r="F12" s="38" t="n">
        <f aca="false">SUM(F7:F11)</f>
        <v>144000</v>
      </c>
    </row>
    <row r="14" customFormat="false" ht="15" hidden="false" customHeight="false" outlineLevel="0" collapsed="false">
      <c r="B14" s="4" t="s">
        <v>346</v>
      </c>
      <c r="C14" s="4"/>
      <c r="D14" s="4"/>
      <c r="E14" s="4"/>
      <c r="F14" s="4"/>
    </row>
    <row r="15" customFormat="false" ht="15" hidden="false" customHeight="false" outlineLevel="0" collapsed="false">
      <c r="B15" s="11" t="s">
        <v>335</v>
      </c>
      <c r="C15" s="11" t="s">
        <v>336</v>
      </c>
      <c r="D15" s="11" t="s">
        <v>339</v>
      </c>
      <c r="E15" s="11" t="s">
        <v>347</v>
      </c>
      <c r="F15" s="11" t="s">
        <v>348</v>
      </c>
    </row>
    <row r="16" customFormat="false" ht="15" hidden="false" customHeight="false" outlineLevel="0" collapsed="false">
      <c r="B16" s="62" t="str">
        <f aca="false">B7</f>
        <v>US Large Cap Equity</v>
      </c>
      <c r="C16" s="63" t="n">
        <f aca="false">C7</f>
        <v>45000</v>
      </c>
      <c r="D16" s="63" t="n">
        <f aca="false">F7</f>
        <v>54000</v>
      </c>
      <c r="E16" s="25" t="n">
        <f aca="false">D16-C16</f>
        <v>9000</v>
      </c>
      <c r="F16" s="26" t="str">
        <f aca="false">IF(E16&gt;0,"Buy","Sell")</f>
        <v>Buy</v>
      </c>
    </row>
    <row r="17" customFormat="false" ht="15" hidden="false" customHeight="false" outlineLevel="0" collapsed="false">
      <c r="B17" s="62" t="str">
        <f aca="false">B8</f>
        <v>US Small/Mid Cap Equity</v>
      </c>
      <c r="C17" s="63" t="n">
        <f aca="false">C8</f>
        <v>15000</v>
      </c>
      <c r="D17" s="63" t="n">
        <f aca="false">F8</f>
        <v>18000</v>
      </c>
      <c r="E17" s="25" t="n">
        <f aca="false">D17-C17</f>
        <v>3000</v>
      </c>
      <c r="F17" s="26" t="str">
        <f aca="false">IF(E17&gt;0,"Buy","Sell")</f>
        <v>Buy</v>
      </c>
    </row>
    <row r="18" customFormat="false" ht="15" hidden="false" customHeight="false" outlineLevel="0" collapsed="false">
      <c r="B18" s="62" t="str">
        <f aca="false">B9</f>
        <v>International Equity</v>
      </c>
      <c r="C18" s="63" t="n">
        <f aca="false">C9</f>
        <v>10000</v>
      </c>
      <c r="D18" s="63" t="n">
        <f aca="false">F9</f>
        <v>12000</v>
      </c>
      <c r="E18" s="25" t="n">
        <f aca="false">D18-C18</f>
        <v>2000</v>
      </c>
      <c r="F18" s="26" t="str">
        <f aca="false">IF(E18&gt;0,"Buy","Sell")</f>
        <v>Buy</v>
      </c>
    </row>
    <row r="19" customFormat="false" ht="15" hidden="false" customHeight="false" outlineLevel="0" collapsed="false">
      <c r="B19" s="62" t="str">
        <f aca="false">B10</f>
        <v>Bonds / Fixed Income</v>
      </c>
      <c r="C19" s="63" t="n">
        <f aca="false">C10</f>
        <v>35000</v>
      </c>
      <c r="D19" s="63" t="n">
        <f aca="false">F10</f>
        <v>42000</v>
      </c>
      <c r="E19" s="25" t="n">
        <f aca="false">D19-C19</f>
        <v>7000</v>
      </c>
      <c r="F19" s="26" t="str">
        <f aca="false">IF(E19&gt;0,"Buy","Sell")</f>
        <v>Buy</v>
      </c>
    </row>
    <row r="20" customFormat="false" ht="15" hidden="false" customHeight="false" outlineLevel="0" collapsed="false">
      <c r="B20" s="62" t="str">
        <f aca="false">B11</f>
        <v>Cash</v>
      </c>
      <c r="C20" s="63" t="n">
        <f aca="false">C11</f>
        <v>15000</v>
      </c>
      <c r="D20" s="63" t="n">
        <f aca="false">F11</f>
        <v>18000</v>
      </c>
      <c r="E20" s="25" t="n">
        <f aca="false">D20-C20</f>
        <v>3000</v>
      </c>
      <c r="F20" s="26" t="str">
        <f aca="false">IF(E20&gt;0,"Buy","Sell")</f>
        <v>Buy</v>
      </c>
    </row>
    <row r="22" customFormat="false" ht="15" hidden="false" customHeight="false" outlineLevel="0" collapsed="false">
      <c r="B22" s="4" t="s">
        <v>349</v>
      </c>
      <c r="C22" s="4"/>
      <c r="D22" s="4"/>
      <c r="E22" s="4"/>
      <c r="F22" s="4"/>
    </row>
    <row r="23" customFormat="false" ht="15" hidden="false" customHeight="false" outlineLevel="0" collapsed="false">
      <c r="B23" s="11" t="s">
        <v>335</v>
      </c>
      <c r="C23" s="11" t="s">
        <v>350</v>
      </c>
      <c r="D23" s="11" t="s">
        <v>351</v>
      </c>
      <c r="E23" s="11" t="s">
        <v>352</v>
      </c>
      <c r="F23" s="11" t="s">
        <v>339</v>
      </c>
    </row>
    <row r="24" customFormat="false" ht="15" hidden="false" customHeight="false" outlineLevel="0" collapsed="false">
      <c r="B24" s="18" t="s">
        <v>353</v>
      </c>
      <c r="C24" s="31" t="s">
        <v>354</v>
      </c>
      <c r="D24" s="55" t="n">
        <v>0.0003</v>
      </c>
      <c r="E24" s="48" t="n">
        <v>0.4</v>
      </c>
      <c r="F24" s="25" t="n">
        <f aca="false">E24*$C$12</f>
        <v>48000</v>
      </c>
    </row>
    <row r="25" customFormat="false" ht="15" hidden="false" customHeight="false" outlineLevel="0" collapsed="false">
      <c r="B25" s="18" t="s">
        <v>355</v>
      </c>
      <c r="C25" s="31" t="s">
        <v>356</v>
      </c>
      <c r="D25" s="55" t="n">
        <v>0.0004</v>
      </c>
      <c r="E25" s="48" t="n">
        <v>0.15</v>
      </c>
      <c r="F25" s="25" t="n">
        <f aca="false">E25*$C$12</f>
        <v>18000</v>
      </c>
    </row>
    <row r="26" customFormat="false" ht="15" hidden="false" customHeight="false" outlineLevel="0" collapsed="false">
      <c r="B26" s="18" t="s">
        <v>357</v>
      </c>
      <c r="C26" s="31" t="s">
        <v>358</v>
      </c>
      <c r="D26" s="55" t="n">
        <v>0.0006</v>
      </c>
      <c r="E26" s="48" t="n">
        <v>0.15</v>
      </c>
      <c r="F26" s="25" t="n">
        <f aca="false">E26*$C$12</f>
        <v>18000</v>
      </c>
    </row>
    <row r="27" customFormat="false" ht="15" hidden="false" customHeight="false" outlineLevel="0" collapsed="false">
      <c r="B27" s="18" t="s">
        <v>359</v>
      </c>
      <c r="C27" s="31" t="s">
        <v>360</v>
      </c>
      <c r="D27" s="55" t="n">
        <v>0.0008</v>
      </c>
      <c r="E27" s="48" t="n">
        <v>0.1</v>
      </c>
      <c r="F27" s="25" t="n">
        <f aca="false">E27*$C$12</f>
        <v>12000</v>
      </c>
    </row>
    <row r="28" customFormat="false" ht="15" hidden="false" customHeight="false" outlineLevel="0" collapsed="false">
      <c r="B28" s="18" t="s">
        <v>361</v>
      </c>
      <c r="C28" s="31" t="s">
        <v>362</v>
      </c>
      <c r="D28" s="55" t="n">
        <v>0.0003</v>
      </c>
      <c r="E28" s="48" t="n">
        <v>0.15</v>
      </c>
      <c r="F28" s="25" t="n">
        <f aca="false">E28*$C$12</f>
        <v>18000</v>
      </c>
    </row>
    <row r="29" customFormat="false" ht="15" hidden="false" customHeight="false" outlineLevel="0" collapsed="false">
      <c r="B29" s="18" t="s">
        <v>363</v>
      </c>
      <c r="C29" s="31" t="s">
        <v>364</v>
      </c>
      <c r="D29" s="55" t="n">
        <v>0.0004</v>
      </c>
      <c r="E29" s="48" t="n">
        <v>0.05</v>
      </c>
      <c r="F29" s="25" t="n">
        <f aca="false">E29*$C$12</f>
        <v>6000</v>
      </c>
    </row>
    <row r="30" customFormat="false" ht="15" hidden="false" customHeight="false" outlineLevel="0" collapsed="false">
      <c r="B30" s="37" t="s">
        <v>345</v>
      </c>
      <c r="D30" s="64" t="n">
        <f aca="false">SUMPRODUCT(D24:D29,E24:E29)</f>
        <v>0.000415</v>
      </c>
      <c r="E30" s="40" t="n">
        <f aca="false">SUM(E24:E29)</f>
        <v>1</v>
      </c>
      <c r="F30" s="38" t="n">
        <f aca="false">SUM(F24:F29)</f>
        <v>120000</v>
      </c>
    </row>
    <row r="32" customFormat="false" ht="15" hidden="false" customHeight="false" outlineLevel="0" collapsed="false">
      <c r="B32" s="46" t="s">
        <v>365</v>
      </c>
      <c r="D32" s="65" t="n">
        <f aca="false">D30</f>
        <v>0.000415</v>
      </c>
      <c r="E32" s="44" t="s">
        <v>366</v>
      </c>
    </row>
    <row r="34" customFormat="false" ht="15" hidden="false" customHeight="false" outlineLevel="0" collapsed="false">
      <c r="B34" s="44" t="s">
        <v>210</v>
      </c>
    </row>
    <row r="35" customFormat="false" ht="15" hidden="false" customHeight="false" outlineLevel="0" collapsed="false">
      <c r="B35" s="45" t="s">
        <v>335</v>
      </c>
      <c r="C35" s="45" t="s">
        <v>337</v>
      </c>
      <c r="D35" s="45" t="s">
        <v>338</v>
      </c>
    </row>
    <row r="36" customFormat="false" ht="15" hidden="false" customHeight="false" outlineLevel="0" collapsed="false">
      <c r="B36" s="46" t="s">
        <v>367</v>
      </c>
      <c r="C36" s="35" t="n">
        <f aca="false">D7+D8</f>
        <v>0.5</v>
      </c>
      <c r="D36" s="35" t="n">
        <f aca="false">E7+E8</f>
        <v>0.6</v>
      </c>
    </row>
    <row r="37" customFormat="false" ht="15" hidden="false" customHeight="false" outlineLevel="0" collapsed="false">
      <c r="B37" s="46" t="s">
        <v>368</v>
      </c>
      <c r="C37" s="35" t="n">
        <f aca="false">D9</f>
        <v>0.0833333333333333</v>
      </c>
      <c r="D37" s="35" t="n">
        <f aca="false">E9</f>
        <v>0.1</v>
      </c>
    </row>
    <row r="38" customFormat="false" ht="15" hidden="false" customHeight="false" outlineLevel="0" collapsed="false">
      <c r="B38" s="46" t="s">
        <v>369</v>
      </c>
      <c r="C38" s="35" t="n">
        <f aca="false">D10</f>
        <v>0.291666666666667</v>
      </c>
      <c r="D38" s="35" t="n">
        <f aca="false">E10</f>
        <v>0.35</v>
      </c>
    </row>
    <row r="39" customFormat="false" ht="15" hidden="false" customHeight="false" outlineLevel="0" collapsed="false">
      <c r="B39" s="46" t="s">
        <v>344</v>
      </c>
      <c r="C39" s="35" t="n">
        <f aca="false">D11</f>
        <v>0.125</v>
      </c>
      <c r="D39" s="35" t="n">
        <f aca="false">E11</f>
        <v>0.15</v>
      </c>
    </row>
  </sheetData>
  <mergeCells count="5">
    <mergeCell ref="B2:H2"/>
    <mergeCell ref="B3:H3"/>
    <mergeCell ref="B5:F5"/>
    <mergeCell ref="B14:F14"/>
    <mergeCell ref="B22:F2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6" min="3" style="0" width="16"/>
    <col collapsed="false" customWidth="true" hidden="false" outlineLevel="0" max="7" min="7" style="0" width="30"/>
  </cols>
  <sheetData>
    <row r="2" customFormat="false" ht="24" hidden="false" customHeight="true" outlineLevel="0" collapsed="false">
      <c r="B2" s="1" t="s">
        <v>370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371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4" t="s">
        <v>372</v>
      </c>
      <c r="C5" s="4"/>
      <c r="D5" s="4"/>
      <c r="E5" s="4"/>
      <c r="F5" s="4"/>
      <c r="G5" s="4"/>
    </row>
    <row r="6" customFormat="false" ht="15" hidden="false" customHeight="false" outlineLevel="0" collapsed="false">
      <c r="B6" s="11" t="s">
        <v>373</v>
      </c>
      <c r="C6" s="11" t="s">
        <v>374</v>
      </c>
      <c r="D6" s="11" t="s">
        <v>375</v>
      </c>
      <c r="E6" s="11" t="s">
        <v>376</v>
      </c>
      <c r="F6" s="11" t="s">
        <v>377</v>
      </c>
      <c r="G6" s="11" t="s">
        <v>273</v>
      </c>
    </row>
    <row r="7" customFormat="false" ht="15" hidden="false" customHeight="false" outlineLevel="0" collapsed="false">
      <c r="B7" s="18" t="s">
        <v>378</v>
      </c>
      <c r="C7" s="26" t="s">
        <v>379</v>
      </c>
      <c r="D7" s="12" t="s">
        <v>380</v>
      </c>
      <c r="E7" s="24" t="n">
        <v>0</v>
      </c>
      <c r="F7" s="12" t="s">
        <v>381</v>
      </c>
      <c r="G7" s="12"/>
    </row>
    <row r="8" customFormat="false" ht="15" hidden="false" customHeight="false" outlineLevel="0" collapsed="false">
      <c r="B8" s="18" t="s">
        <v>382</v>
      </c>
      <c r="C8" s="26" t="s">
        <v>290</v>
      </c>
      <c r="D8" s="24" t="n">
        <v>0</v>
      </c>
      <c r="E8" s="24" t="n">
        <v>0</v>
      </c>
      <c r="F8" s="12" t="s">
        <v>383</v>
      </c>
      <c r="G8" s="12"/>
    </row>
    <row r="9" customFormat="false" ht="15" hidden="false" customHeight="false" outlineLevel="0" collapsed="false">
      <c r="B9" s="18" t="s">
        <v>384</v>
      </c>
      <c r="C9" s="26" t="s">
        <v>291</v>
      </c>
      <c r="D9" s="24" t="n">
        <v>50000</v>
      </c>
      <c r="E9" s="24" t="n">
        <v>0</v>
      </c>
      <c r="F9" s="12" t="s">
        <v>385</v>
      </c>
      <c r="G9" s="12"/>
    </row>
    <row r="10" customFormat="false" ht="15" hidden="false" customHeight="false" outlineLevel="0" collapsed="false">
      <c r="B10" s="18" t="s">
        <v>386</v>
      </c>
      <c r="C10" s="26" t="s">
        <v>290</v>
      </c>
      <c r="D10" s="24" t="n">
        <v>0</v>
      </c>
      <c r="E10" s="24" t="n">
        <v>0</v>
      </c>
      <c r="F10" s="12" t="s">
        <v>387</v>
      </c>
      <c r="G10" s="12"/>
    </row>
    <row r="11" customFormat="false" ht="15" hidden="false" customHeight="false" outlineLevel="0" collapsed="false">
      <c r="B11" s="18" t="s">
        <v>388</v>
      </c>
      <c r="C11" s="26" t="s">
        <v>291</v>
      </c>
      <c r="D11" s="12" t="s">
        <v>389</v>
      </c>
      <c r="E11" s="24" t="n">
        <v>0</v>
      </c>
      <c r="F11" s="12" t="s">
        <v>390</v>
      </c>
      <c r="G11" s="12"/>
    </row>
    <row r="12" customFormat="false" ht="15" hidden="false" customHeight="false" outlineLevel="0" collapsed="false">
      <c r="B12" s="18" t="s">
        <v>391</v>
      </c>
      <c r="C12" s="26" t="s">
        <v>379</v>
      </c>
      <c r="D12" s="12" t="s">
        <v>392</v>
      </c>
      <c r="E12" s="24" t="n">
        <v>2400</v>
      </c>
      <c r="F12" s="12" t="s">
        <v>393</v>
      </c>
      <c r="G12" s="12"/>
    </row>
    <row r="13" customFormat="false" ht="15" hidden="false" customHeight="false" outlineLevel="0" collapsed="false">
      <c r="B13" s="18" t="s">
        <v>394</v>
      </c>
      <c r="C13" s="26" t="s">
        <v>379</v>
      </c>
      <c r="D13" s="12" t="s">
        <v>395</v>
      </c>
      <c r="E13" s="24" t="n">
        <v>1800</v>
      </c>
      <c r="F13" s="12" t="s">
        <v>396</v>
      </c>
      <c r="G13" s="12"/>
    </row>
    <row r="14" customFormat="false" ht="15" hidden="false" customHeight="false" outlineLevel="0" collapsed="false">
      <c r="B14" s="18" t="s">
        <v>397</v>
      </c>
      <c r="C14" s="26" t="s">
        <v>379</v>
      </c>
      <c r="D14" s="24" t="n">
        <v>0</v>
      </c>
      <c r="E14" s="24" t="n">
        <v>0</v>
      </c>
      <c r="F14" s="12" t="s">
        <v>398</v>
      </c>
      <c r="G14" s="12"/>
    </row>
    <row r="15" customFormat="false" ht="15" hidden="false" customHeight="false" outlineLevel="0" collapsed="false">
      <c r="B15" s="18" t="s">
        <v>399</v>
      </c>
      <c r="C15" s="26" t="s">
        <v>14</v>
      </c>
      <c r="D15" s="12" t="s">
        <v>400</v>
      </c>
      <c r="E15" s="24" t="n">
        <v>1500</v>
      </c>
      <c r="F15" s="12" t="s">
        <v>401</v>
      </c>
      <c r="G15" s="12"/>
    </row>
    <row r="16" customFormat="false" ht="15" hidden="false" customHeight="false" outlineLevel="0" collapsed="false">
      <c r="B16" s="18" t="s">
        <v>402</v>
      </c>
      <c r="C16" s="26" t="s">
        <v>14</v>
      </c>
      <c r="D16" s="24" t="n">
        <v>0</v>
      </c>
      <c r="E16" s="24" t="n">
        <v>0</v>
      </c>
      <c r="F16" s="12" t="s">
        <v>403</v>
      </c>
      <c r="G16" s="12"/>
    </row>
    <row r="17" customFormat="false" ht="15" hidden="false" customHeight="false" outlineLevel="0" collapsed="false">
      <c r="B17" s="37" t="s">
        <v>404</v>
      </c>
      <c r="E17" s="47" t="n">
        <f aca="false">SUM(E7:E16)</f>
        <v>5700</v>
      </c>
    </row>
    <row r="19" customFormat="false" ht="15" hidden="false" customHeight="false" outlineLevel="0" collapsed="false">
      <c r="B19" s="4" t="s">
        <v>405</v>
      </c>
      <c r="C19" s="4"/>
      <c r="D19" s="4"/>
      <c r="E19" s="4"/>
      <c r="F19" s="4"/>
      <c r="G19" s="4"/>
    </row>
    <row r="20" customFormat="false" ht="15" hidden="false" customHeight="false" outlineLevel="0" collapsed="false">
      <c r="B20" s="11" t="s">
        <v>406</v>
      </c>
      <c r="C20" s="11" t="s">
        <v>290</v>
      </c>
      <c r="D20" s="11" t="s">
        <v>291</v>
      </c>
      <c r="E20" s="11" t="s">
        <v>407</v>
      </c>
      <c r="F20" s="11" t="s">
        <v>375</v>
      </c>
      <c r="G20" s="11" t="s">
        <v>273</v>
      </c>
    </row>
    <row r="21" customFormat="false" ht="15" hidden="false" customHeight="false" outlineLevel="0" collapsed="false">
      <c r="B21" s="18" t="s">
        <v>408</v>
      </c>
      <c r="C21" s="25" t="n">
        <f aca="false">100000*10</f>
        <v>1000000</v>
      </c>
      <c r="D21" s="25" t="n">
        <f aca="false">52000*10</f>
        <v>520000</v>
      </c>
      <c r="E21" s="25" t="n">
        <f aca="false">C21+D21</f>
        <v>1520000</v>
      </c>
    </row>
    <row r="22" customFormat="false" ht="15" hidden="false" customHeight="false" outlineLevel="0" collapsed="false">
      <c r="B22" s="18" t="s">
        <v>409</v>
      </c>
      <c r="C22" s="25" t="n">
        <f aca="false">('6. Debt &amp; Liquidity'!C12)/2</f>
        <v>175750</v>
      </c>
      <c r="D22" s="25" t="n">
        <f aca="false">('6. Debt &amp; Liquidity'!C12)/2</f>
        <v>175750</v>
      </c>
      <c r="E22" s="25" t="n">
        <f aca="false">C22+D22</f>
        <v>351500</v>
      </c>
    </row>
    <row r="23" customFormat="false" ht="15" hidden="false" customHeight="false" outlineLevel="0" collapsed="false">
      <c r="B23" s="18" t="s">
        <v>410</v>
      </c>
      <c r="C23" s="24" t="n">
        <v>80000</v>
      </c>
      <c r="D23" s="24" t="n">
        <v>80000</v>
      </c>
      <c r="E23" s="25" t="n">
        <f aca="false">C23+D23</f>
        <v>160000</v>
      </c>
    </row>
    <row r="24" customFormat="false" ht="15" hidden="false" customHeight="false" outlineLevel="0" collapsed="false">
      <c r="B24" s="18" t="s">
        <v>411</v>
      </c>
      <c r="C24" s="24" t="n">
        <v>15000</v>
      </c>
      <c r="D24" s="24" t="n">
        <v>15000</v>
      </c>
      <c r="E24" s="25" t="n">
        <f aca="false">C24+D24</f>
        <v>30000</v>
      </c>
    </row>
    <row r="25" customFormat="false" ht="15" hidden="false" customHeight="false" outlineLevel="0" collapsed="false">
      <c r="B25" s="37" t="s">
        <v>412</v>
      </c>
      <c r="C25" s="47" t="n">
        <f aca="false">SUM(C21:C24)</f>
        <v>1270750</v>
      </c>
      <c r="D25" s="47" t="n">
        <f aca="false">SUM(D21:D24)</f>
        <v>790750</v>
      </c>
      <c r="E25" s="47" t="n">
        <f aca="false">SUM(E21:E24)</f>
        <v>2061500</v>
      </c>
      <c r="F25" s="38" t="n">
        <f aca="false">D8+D9</f>
        <v>50000</v>
      </c>
      <c r="G25" s="66" t="n">
        <f aca="false">E25-F25</f>
        <v>2011500</v>
      </c>
    </row>
    <row r="27" customFormat="false" ht="15" hidden="false" customHeight="false" outlineLevel="0" collapsed="false">
      <c r="B27" s="4" t="s">
        <v>413</v>
      </c>
      <c r="C27" s="4"/>
      <c r="D27" s="4"/>
      <c r="E27" s="4"/>
      <c r="F27" s="4"/>
      <c r="G27" s="4"/>
    </row>
    <row r="28" customFormat="false" ht="15" hidden="false" customHeight="false" outlineLevel="0" collapsed="false">
      <c r="B28" s="6" t="s">
        <v>414</v>
      </c>
      <c r="C28" s="6"/>
      <c r="D28" s="6"/>
      <c r="E28" s="6"/>
      <c r="F28" s="6"/>
      <c r="G28" s="6"/>
    </row>
    <row r="29" customFormat="false" ht="15" hidden="false" customHeight="false" outlineLevel="0" collapsed="false">
      <c r="B29" s="6" t="s">
        <v>415</v>
      </c>
      <c r="C29" s="6"/>
      <c r="D29" s="6"/>
      <c r="E29" s="6"/>
      <c r="F29" s="6"/>
      <c r="G29" s="6"/>
    </row>
    <row r="30" customFormat="false" ht="15" hidden="false" customHeight="false" outlineLevel="0" collapsed="false">
      <c r="B30" s="6" t="s">
        <v>416</v>
      </c>
      <c r="C30" s="6"/>
      <c r="D30" s="6"/>
      <c r="E30" s="6"/>
      <c r="F30" s="6"/>
      <c r="G30" s="6"/>
    </row>
    <row r="31" customFormat="false" ht="15" hidden="false" customHeight="false" outlineLevel="0" collapsed="false">
      <c r="B31" s="6" t="s">
        <v>417</v>
      </c>
      <c r="C31" s="6"/>
      <c r="D31" s="6"/>
      <c r="E31" s="6"/>
      <c r="F31" s="6"/>
      <c r="G31" s="6"/>
    </row>
    <row r="32" customFormat="false" ht="15" hidden="false" customHeight="false" outlineLevel="0" collapsed="false">
      <c r="B32" s="6" t="s">
        <v>418</v>
      </c>
      <c r="C32" s="6"/>
      <c r="D32" s="6"/>
      <c r="E32" s="6"/>
      <c r="F32" s="6"/>
      <c r="G32" s="6"/>
    </row>
    <row r="33" customFormat="false" ht="15" hidden="false" customHeight="false" outlineLevel="0" collapsed="false">
      <c r="B33" s="6" t="s">
        <v>419</v>
      </c>
      <c r="C33" s="6"/>
      <c r="D33" s="6"/>
      <c r="E33" s="6"/>
      <c r="F33" s="6"/>
      <c r="G33" s="6"/>
    </row>
    <row r="34" customFormat="false" ht="15" hidden="false" customHeight="false" outlineLevel="0" collapsed="false">
      <c r="B34" s="6" t="s">
        <v>420</v>
      </c>
      <c r="C34" s="6"/>
      <c r="D34" s="6"/>
      <c r="E34" s="6"/>
      <c r="F34" s="6"/>
      <c r="G34" s="6"/>
    </row>
    <row r="35" customFormat="false" ht="15" hidden="false" customHeight="false" outlineLevel="0" collapsed="false">
      <c r="B35" s="6" t="s">
        <v>421</v>
      </c>
      <c r="C35" s="6"/>
      <c r="D35" s="6"/>
      <c r="E35" s="6"/>
      <c r="F35" s="6"/>
      <c r="G35" s="6"/>
    </row>
  </sheetData>
  <mergeCells count="23">
    <mergeCell ref="B2:H2"/>
    <mergeCell ref="B3:H3"/>
    <mergeCell ref="B5:G5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B19:G19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6"/>
    <col collapsed="false" customWidth="true" hidden="false" outlineLevel="0" max="7" min="7" style="0" width="30"/>
  </cols>
  <sheetData>
    <row r="2" customFormat="false" ht="24" hidden="false" customHeight="true" outlineLevel="0" collapsed="false">
      <c r="B2" s="1" t="s">
        <v>422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423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4" t="s">
        <v>424</v>
      </c>
      <c r="C5" s="4"/>
      <c r="D5" s="4"/>
      <c r="E5" s="4"/>
      <c r="F5" s="4"/>
      <c r="G5" s="4"/>
    </row>
    <row r="6" customFormat="false" ht="15" hidden="false" customHeight="false" outlineLevel="0" collapsed="false">
      <c r="B6" s="11" t="s">
        <v>425</v>
      </c>
      <c r="C6" s="11" t="s">
        <v>426</v>
      </c>
      <c r="D6" s="11" t="s">
        <v>427</v>
      </c>
      <c r="E6" s="11" t="s">
        <v>428</v>
      </c>
      <c r="F6" s="11" t="s">
        <v>28</v>
      </c>
      <c r="G6" s="11"/>
    </row>
    <row r="7" customFormat="false" ht="15" hidden="false" customHeight="false" outlineLevel="0" collapsed="false">
      <c r="B7" s="18" t="s">
        <v>429</v>
      </c>
      <c r="C7" s="26" t="s">
        <v>430</v>
      </c>
      <c r="D7" s="26" t="s">
        <v>431</v>
      </c>
      <c r="E7" s="26" t="s">
        <v>430</v>
      </c>
      <c r="F7" s="12" t="s">
        <v>426</v>
      </c>
      <c r="G7" s="12"/>
    </row>
    <row r="8" customFormat="false" ht="15" hidden="false" customHeight="false" outlineLevel="0" collapsed="false">
      <c r="B8" s="18" t="s">
        <v>432</v>
      </c>
      <c r="C8" s="26" t="s">
        <v>433</v>
      </c>
      <c r="D8" s="26" t="s">
        <v>434</v>
      </c>
      <c r="E8" s="26" t="s">
        <v>433</v>
      </c>
      <c r="F8" s="12" t="s">
        <v>426</v>
      </c>
      <c r="G8" s="12"/>
    </row>
    <row r="9" customFormat="false" ht="15" hidden="false" customHeight="false" outlineLevel="0" collapsed="false">
      <c r="B9" s="18" t="s">
        <v>435</v>
      </c>
      <c r="C9" s="26" t="s">
        <v>436</v>
      </c>
      <c r="D9" s="26" t="s">
        <v>431</v>
      </c>
      <c r="E9" s="26" t="s">
        <v>437</v>
      </c>
      <c r="F9" s="12" t="s">
        <v>428</v>
      </c>
      <c r="G9" s="12"/>
    </row>
    <row r="10" customFormat="false" ht="15" hidden="false" customHeight="false" outlineLevel="0" collapsed="false">
      <c r="B10" s="18" t="s">
        <v>438</v>
      </c>
      <c r="C10" s="26" t="s">
        <v>439</v>
      </c>
      <c r="D10" s="26" t="s">
        <v>439</v>
      </c>
      <c r="E10" s="26" t="s">
        <v>440</v>
      </c>
      <c r="F10" s="12" t="s">
        <v>426</v>
      </c>
      <c r="G10" s="12"/>
    </row>
    <row r="11" customFormat="false" ht="15" hidden="false" customHeight="false" outlineLevel="0" collapsed="false">
      <c r="B11" s="18" t="s">
        <v>441</v>
      </c>
      <c r="C11" s="26" t="s">
        <v>114</v>
      </c>
      <c r="D11" s="26" t="s">
        <v>107</v>
      </c>
      <c r="E11" s="26" t="s">
        <v>107</v>
      </c>
      <c r="F11" s="12" t="s">
        <v>426</v>
      </c>
      <c r="G11" s="12"/>
    </row>
    <row r="12" customFormat="false" ht="15" hidden="false" customHeight="false" outlineLevel="0" collapsed="false">
      <c r="B12" s="18" t="s">
        <v>442</v>
      </c>
      <c r="C12" s="26" t="s">
        <v>443</v>
      </c>
      <c r="D12" s="26" t="s">
        <v>443</v>
      </c>
      <c r="E12" s="26" t="s">
        <v>444</v>
      </c>
      <c r="F12" s="12" t="s">
        <v>426</v>
      </c>
      <c r="G12" s="12"/>
    </row>
    <row r="13" customFormat="false" ht="15" hidden="false" customHeight="false" outlineLevel="0" collapsed="false">
      <c r="B13" s="18" t="s">
        <v>445</v>
      </c>
      <c r="C13" s="26" t="s">
        <v>230</v>
      </c>
      <c r="D13" s="26" t="s">
        <v>230</v>
      </c>
      <c r="E13" s="26" t="s">
        <v>224</v>
      </c>
      <c r="F13" s="12" t="s">
        <v>428</v>
      </c>
      <c r="G13" s="12"/>
    </row>
    <row r="14" customFormat="false" ht="15" hidden="false" customHeight="false" outlineLevel="0" collapsed="false">
      <c r="B14" s="18" t="s">
        <v>446</v>
      </c>
      <c r="C14" s="26" t="s">
        <v>230</v>
      </c>
      <c r="D14" s="26" t="s">
        <v>447</v>
      </c>
      <c r="E14" s="26" t="s">
        <v>224</v>
      </c>
      <c r="F14" s="12" t="s">
        <v>428</v>
      </c>
      <c r="G14" s="12"/>
    </row>
    <row r="15" customFormat="false" ht="15" hidden="false" customHeight="false" outlineLevel="0" collapsed="false">
      <c r="B15" s="18" t="s">
        <v>448</v>
      </c>
      <c r="C15" s="26" t="s">
        <v>449</v>
      </c>
      <c r="D15" s="26" t="s">
        <v>450</v>
      </c>
      <c r="E15" s="26" t="s">
        <v>440</v>
      </c>
      <c r="F15" s="12" t="s">
        <v>426</v>
      </c>
      <c r="G15" s="12"/>
    </row>
    <row r="17" customFormat="false" ht="15" hidden="false" customHeight="false" outlineLevel="0" collapsed="false">
      <c r="B17" s="4" t="s">
        <v>451</v>
      </c>
      <c r="C17" s="4"/>
      <c r="D17" s="4"/>
      <c r="E17" s="4"/>
      <c r="F17" s="4"/>
      <c r="G17" s="4"/>
    </row>
    <row r="18" customFormat="false" ht="79.5" hidden="false" customHeight="true" outlineLevel="0" collapsed="false">
      <c r="B18" s="67" t="s">
        <v>452</v>
      </c>
      <c r="C18" s="67"/>
      <c r="D18" s="67"/>
      <c r="E18" s="67"/>
      <c r="F18" s="67"/>
      <c r="G18" s="67"/>
    </row>
    <row r="19" customFormat="false" ht="15" hidden="false" customHeight="false" outlineLevel="0" collapsed="false">
      <c r="B19" s="67"/>
      <c r="C19" s="67"/>
      <c r="D19" s="67"/>
      <c r="E19" s="67"/>
      <c r="F19" s="67"/>
      <c r="G19" s="67"/>
    </row>
    <row r="20" customFormat="false" ht="15" hidden="false" customHeight="false" outlineLevel="0" collapsed="false">
      <c r="B20" s="67"/>
      <c r="C20" s="67"/>
      <c r="D20" s="67"/>
      <c r="E20" s="67"/>
      <c r="F20" s="67"/>
      <c r="G20" s="67"/>
    </row>
    <row r="22" customFormat="false" ht="15" hidden="false" customHeight="false" outlineLevel="0" collapsed="false">
      <c r="B22" s="4" t="s">
        <v>453</v>
      </c>
      <c r="C22" s="4"/>
      <c r="D22" s="4"/>
      <c r="E22" s="4"/>
      <c r="F22" s="4"/>
      <c r="G22" s="4"/>
    </row>
    <row r="23" customFormat="false" ht="15" hidden="false" customHeight="false" outlineLevel="0" collapsed="false">
      <c r="B23" s="11" t="s">
        <v>454</v>
      </c>
      <c r="C23" s="11" t="s">
        <v>211</v>
      </c>
      <c r="D23" s="11" t="s">
        <v>80</v>
      </c>
      <c r="E23" s="11"/>
      <c r="F23" s="11"/>
      <c r="G23" s="11"/>
    </row>
    <row r="24" customFormat="false" ht="15" hidden="false" customHeight="false" outlineLevel="0" collapsed="false">
      <c r="B24" s="18" t="s">
        <v>455</v>
      </c>
      <c r="C24" s="24" t="n">
        <v>140000</v>
      </c>
      <c r="D24" s="22" t="s">
        <v>456</v>
      </c>
      <c r="E24" s="22"/>
      <c r="F24" s="22"/>
      <c r="G24" s="22"/>
    </row>
    <row r="25" customFormat="false" ht="15" hidden="false" customHeight="false" outlineLevel="0" collapsed="false">
      <c r="B25" s="18" t="s">
        <v>457</v>
      </c>
      <c r="C25" s="24" t="n">
        <v>52000</v>
      </c>
      <c r="D25" s="22" t="s">
        <v>458</v>
      </c>
      <c r="E25" s="22"/>
      <c r="F25" s="22"/>
      <c r="G25" s="22"/>
    </row>
    <row r="26" customFormat="false" ht="15" hidden="false" customHeight="false" outlineLevel="0" collapsed="false">
      <c r="B26" s="18" t="s">
        <v>459</v>
      </c>
      <c r="C26" s="25" t="n">
        <f aca="false">C24+C25</f>
        <v>192000</v>
      </c>
      <c r="D26" s="22" t="s">
        <v>460</v>
      </c>
      <c r="E26" s="22"/>
      <c r="F26" s="22"/>
      <c r="G26" s="22"/>
    </row>
    <row r="27" customFormat="false" ht="15" hidden="false" customHeight="false" outlineLevel="0" collapsed="false">
      <c r="B27" s="18" t="s">
        <v>461</v>
      </c>
      <c r="C27" s="25" t="n">
        <f aca="false">-C24*0.153/2</f>
        <v>-10710</v>
      </c>
      <c r="D27" s="22" t="s">
        <v>462</v>
      </c>
      <c r="E27" s="22"/>
      <c r="F27" s="22"/>
      <c r="G27" s="22"/>
    </row>
    <row r="28" customFormat="false" ht="15" hidden="false" customHeight="false" outlineLevel="0" collapsed="false">
      <c r="B28" s="18" t="s">
        <v>463</v>
      </c>
      <c r="C28" s="24" t="n">
        <v>22500</v>
      </c>
      <c r="D28" s="22" t="s">
        <v>464</v>
      </c>
      <c r="E28" s="22"/>
      <c r="F28" s="22"/>
      <c r="G28" s="22"/>
    </row>
    <row r="29" customFormat="false" ht="15" hidden="false" customHeight="false" outlineLevel="0" collapsed="false">
      <c r="B29" s="18" t="s">
        <v>197</v>
      </c>
      <c r="C29" s="24" t="n">
        <v>3600</v>
      </c>
      <c r="D29" s="22" t="s">
        <v>465</v>
      </c>
      <c r="E29" s="22"/>
      <c r="F29" s="22"/>
      <c r="G29" s="22"/>
    </row>
    <row r="30" customFormat="false" ht="15" hidden="false" customHeight="false" outlineLevel="0" collapsed="false">
      <c r="B30" s="18" t="s">
        <v>466</v>
      </c>
      <c r="C30" s="25" t="n">
        <f aca="false">C26+C27-C28-C29</f>
        <v>155190</v>
      </c>
      <c r="D30" s="22" t="s">
        <v>467</v>
      </c>
      <c r="E30" s="22"/>
      <c r="F30" s="22"/>
      <c r="G30" s="22"/>
    </row>
    <row r="31" customFormat="false" ht="15" hidden="false" customHeight="false" outlineLevel="0" collapsed="false">
      <c r="B31" s="18" t="s">
        <v>468</v>
      </c>
      <c r="C31" s="24" t="n">
        <v>30000</v>
      </c>
      <c r="D31" s="22" t="s">
        <v>469</v>
      </c>
      <c r="E31" s="22"/>
      <c r="F31" s="22"/>
      <c r="G31" s="22"/>
    </row>
    <row r="32" customFormat="false" ht="15" hidden="false" customHeight="false" outlineLevel="0" collapsed="false">
      <c r="B32" s="18" t="s">
        <v>470</v>
      </c>
      <c r="C32" s="25" t="n">
        <f aca="false">C30-C31</f>
        <v>125190</v>
      </c>
      <c r="D32" s="22" t="s">
        <v>471</v>
      </c>
      <c r="E32" s="22"/>
      <c r="F32" s="22"/>
      <c r="G32" s="22"/>
    </row>
    <row r="33" customFormat="false" ht="15" hidden="false" customHeight="false" outlineLevel="0" collapsed="false">
      <c r="B33" s="18" t="s">
        <v>472</v>
      </c>
      <c r="C33" s="25" t="n">
        <f aca="false">MAX(C32*0.12-12600,0)</f>
        <v>2422.8</v>
      </c>
      <c r="D33" s="22" t="s">
        <v>473</v>
      </c>
      <c r="E33" s="22"/>
      <c r="F33" s="22"/>
      <c r="G33" s="22"/>
    </row>
    <row r="34" customFormat="false" ht="15" hidden="false" customHeight="false" outlineLevel="0" collapsed="false">
      <c r="B34" s="18" t="s">
        <v>474</v>
      </c>
      <c r="C34" s="25" t="n">
        <f aca="false">C24*0.153</f>
        <v>21420</v>
      </c>
      <c r="D34" s="22" t="s">
        <v>475</v>
      </c>
      <c r="E34" s="22"/>
      <c r="F34" s="22"/>
      <c r="G34" s="22"/>
    </row>
    <row r="35" customFormat="false" ht="15" hidden="false" customHeight="false" outlineLevel="0" collapsed="false">
      <c r="B35" s="18" t="s">
        <v>476</v>
      </c>
      <c r="C35" s="25" t="n">
        <f aca="false">C33+C34</f>
        <v>23842.8</v>
      </c>
      <c r="D35" s="22" t="s">
        <v>477</v>
      </c>
      <c r="E35" s="22"/>
      <c r="F35" s="22"/>
      <c r="G35" s="22"/>
    </row>
    <row r="36" customFormat="false" ht="15" hidden="false" customHeight="false" outlineLevel="0" collapsed="false">
      <c r="B36" s="18" t="s">
        <v>478</v>
      </c>
      <c r="C36" s="68" t="n">
        <f aca="false">C35/C26</f>
        <v>0.12418125</v>
      </c>
      <c r="D36" s="22" t="s">
        <v>479</v>
      </c>
      <c r="E36" s="22"/>
      <c r="F36" s="22"/>
      <c r="G36" s="22"/>
    </row>
    <row r="38" customFormat="false" ht="15" hidden="false" customHeight="false" outlineLevel="0" collapsed="false">
      <c r="B38" s="4" t="s">
        <v>480</v>
      </c>
      <c r="C38" s="4"/>
      <c r="D38" s="4"/>
      <c r="E38" s="4"/>
      <c r="F38" s="4"/>
      <c r="G38" s="4"/>
    </row>
    <row r="39" customFormat="false" ht="15" hidden="false" customHeight="false" outlineLevel="0" collapsed="false">
      <c r="B39" s="11" t="s">
        <v>204</v>
      </c>
      <c r="C39" s="11" t="s">
        <v>79</v>
      </c>
      <c r="D39" s="11" t="s">
        <v>80</v>
      </c>
      <c r="E39" s="11"/>
      <c r="F39" s="11"/>
      <c r="G39" s="11"/>
    </row>
    <row r="40" customFormat="false" ht="15" hidden="false" customHeight="false" outlineLevel="0" collapsed="false">
      <c r="B40" s="18" t="s">
        <v>481</v>
      </c>
      <c r="C40" s="25" t="n">
        <f aca="false">C29</f>
        <v>3600</v>
      </c>
      <c r="D40" s="22" t="s">
        <v>482</v>
      </c>
      <c r="E40" s="22"/>
      <c r="F40" s="22"/>
      <c r="G40" s="22"/>
    </row>
    <row r="41" customFormat="false" ht="15" hidden="false" customHeight="false" outlineLevel="0" collapsed="false">
      <c r="B41" s="18" t="s">
        <v>483</v>
      </c>
      <c r="C41" s="25" t="n">
        <f aca="false">C29*0.24</f>
        <v>864</v>
      </c>
      <c r="D41" s="22" t="s">
        <v>484</v>
      </c>
      <c r="E41" s="22"/>
      <c r="F41" s="22"/>
      <c r="G41" s="22"/>
    </row>
    <row r="42" customFormat="false" ht="15" hidden="false" customHeight="false" outlineLevel="0" collapsed="false">
      <c r="B42" s="18" t="s">
        <v>485</v>
      </c>
      <c r="C42" s="25" t="n">
        <f aca="false">C29*0.153*0.5</f>
        <v>275.4</v>
      </c>
      <c r="D42" s="22" t="s">
        <v>486</v>
      </c>
      <c r="E42" s="22"/>
      <c r="F42" s="22"/>
      <c r="G42" s="22"/>
    </row>
    <row r="43" customFormat="false" ht="15" hidden="false" customHeight="false" outlineLevel="0" collapsed="false">
      <c r="B43" s="18" t="s">
        <v>487</v>
      </c>
      <c r="C43" s="25" t="n">
        <f aca="false">C41+C42</f>
        <v>1139.4</v>
      </c>
      <c r="D43" s="22" t="s">
        <v>488</v>
      </c>
      <c r="E43" s="22"/>
      <c r="F43" s="22"/>
      <c r="G43" s="22"/>
    </row>
    <row r="44" customFormat="false" ht="15" hidden="false" customHeight="false" outlineLevel="0" collapsed="false">
      <c r="B44" s="18" t="s">
        <v>489</v>
      </c>
      <c r="C44" s="25" t="n">
        <f aca="false">C29-C43</f>
        <v>2460.6</v>
      </c>
      <c r="D44" s="22" t="s">
        <v>490</v>
      </c>
      <c r="E44" s="22"/>
      <c r="F44" s="22"/>
      <c r="G44" s="22"/>
    </row>
    <row r="46" customFormat="false" ht="15" hidden="false" customHeight="false" outlineLevel="0" collapsed="false">
      <c r="B46" s="4" t="s">
        <v>491</v>
      </c>
      <c r="C46" s="4"/>
      <c r="D46" s="4"/>
      <c r="E46" s="4"/>
      <c r="F46" s="4"/>
      <c r="G46" s="4"/>
    </row>
    <row r="47" customFormat="false" ht="15" hidden="false" customHeight="false" outlineLevel="0" collapsed="false">
      <c r="B47" s="6" t="s">
        <v>492</v>
      </c>
      <c r="C47" s="6"/>
      <c r="D47" s="6"/>
      <c r="E47" s="6"/>
      <c r="F47" s="6"/>
      <c r="G47" s="6"/>
    </row>
    <row r="48" customFormat="false" ht="15" hidden="false" customHeight="false" outlineLevel="0" collapsed="false">
      <c r="B48" s="6" t="s">
        <v>493</v>
      </c>
      <c r="C48" s="6"/>
      <c r="D48" s="6"/>
      <c r="E48" s="6"/>
      <c r="F48" s="6"/>
      <c r="G48" s="6"/>
    </row>
    <row r="49" customFormat="false" ht="15" hidden="false" customHeight="false" outlineLevel="0" collapsed="false">
      <c r="B49" s="6" t="s">
        <v>494</v>
      </c>
      <c r="C49" s="6"/>
      <c r="D49" s="6"/>
      <c r="E49" s="6"/>
      <c r="F49" s="6"/>
      <c r="G49" s="6"/>
    </row>
    <row r="50" customFormat="false" ht="15" hidden="false" customHeight="false" outlineLevel="0" collapsed="false">
      <c r="B50" s="6" t="s">
        <v>495</v>
      </c>
      <c r="C50" s="6"/>
      <c r="D50" s="6"/>
      <c r="E50" s="6"/>
      <c r="F50" s="6"/>
      <c r="G50" s="6"/>
    </row>
    <row r="51" customFormat="false" ht="15" hidden="false" customHeight="false" outlineLevel="0" collapsed="false">
      <c r="B51" s="6" t="s">
        <v>496</v>
      </c>
      <c r="C51" s="6"/>
      <c r="D51" s="6"/>
      <c r="E51" s="6"/>
      <c r="F51" s="6"/>
      <c r="G51" s="6"/>
    </row>
    <row r="52" customFormat="false" ht="15" hidden="false" customHeight="false" outlineLevel="0" collapsed="false">
      <c r="B52" s="6" t="s">
        <v>497</v>
      </c>
      <c r="C52" s="6"/>
      <c r="D52" s="6"/>
      <c r="E52" s="6"/>
      <c r="F52" s="6"/>
      <c r="G52" s="6"/>
    </row>
    <row r="53" customFormat="false" ht="15" hidden="false" customHeight="false" outlineLevel="0" collapsed="false">
      <c r="B53" s="6" t="s">
        <v>498</v>
      </c>
      <c r="C53" s="6"/>
      <c r="D53" s="6"/>
      <c r="E53" s="6"/>
      <c r="F53" s="6"/>
      <c r="G53" s="6"/>
    </row>
    <row r="54" customFormat="false" ht="15" hidden="false" customHeight="false" outlineLevel="0" collapsed="false">
      <c r="B54" s="6" t="s">
        <v>499</v>
      </c>
      <c r="C54" s="6"/>
      <c r="D54" s="6"/>
      <c r="E54" s="6"/>
      <c r="F54" s="6"/>
      <c r="G54" s="6"/>
    </row>
  </sheetData>
  <mergeCells count="46">
    <mergeCell ref="B2:H2"/>
    <mergeCell ref="B3:H3"/>
    <mergeCell ref="B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B17:G17"/>
    <mergeCell ref="B18:G20"/>
    <mergeCell ref="B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D33:G33"/>
    <mergeCell ref="D34:G34"/>
    <mergeCell ref="D35:G35"/>
    <mergeCell ref="D36:G36"/>
    <mergeCell ref="B38:G38"/>
    <mergeCell ref="D39:G39"/>
    <mergeCell ref="D40:G40"/>
    <mergeCell ref="D41:G41"/>
    <mergeCell ref="D42:G42"/>
    <mergeCell ref="D43:G43"/>
    <mergeCell ref="D44:G44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5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30"/>
  </cols>
  <sheetData>
    <row r="2" customFormat="false" ht="24" hidden="false" customHeight="true" outlineLevel="0" collapsed="false">
      <c r="B2" s="1" t="s">
        <v>500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501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11" t="s">
        <v>93</v>
      </c>
      <c r="C5" s="11" t="s">
        <v>502</v>
      </c>
      <c r="D5" s="11" t="s">
        <v>172</v>
      </c>
      <c r="E5" s="11" t="s">
        <v>96</v>
      </c>
      <c r="F5" s="11" t="s">
        <v>30</v>
      </c>
      <c r="G5" s="11" t="s">
        <v>503</v>
      </c>
    </row>
    <row r="6" customFormat="false" ht="30" hidden="false" customHeight="true" outlineLevel="0" collapsed="false">
      <c r="B6" s="26" t="n">
        <v>1</v>
      </c>
      <c r="C6" s="12" t="s">
        <v>504</v>
      </c>
      <c r="D6" s="26" t="s">
        <v>505</v>
      </c>
      <c r="E6" s="14" t="s">
        <v>99</v>
      </c>
      <c r="F6" s="26" t="s">
        <v>103</v>
      </c>
      <c r="G6" s="69" t="s">
        <v>506</v>
      </c>
    </row>
    <row r="7" customFormat="false" ht="30" hidden="false" customHeight="true" outlineLevel="0" collapsed="false">
      <c r="B7" s="26" t="n">
        <v>2</v>
      </c>
      <c r="C7" s="12" t="s">
        <v>507</v>
      </c>
      <c r="D7" s="26" t="s">
        <v>508</v>
      </c>
      <c r="E7" s="14" t="s">
        <v>99</v>
      </c>
      <c r="F7" s="26" t="s">
        <v>509</v>
      </c>
      <c r="G7" s="69" t="s">
        <v>510</v>
      </c>
    </row>
    <row r="8" customFormat="false" ht="30" hidden="false" customHeight="true" outlineLevel="0" collapsed="false">
      <c r="B8" s="26" t="n">
        <v>3</v>
      </c>
      <c r="C8" s="12" t="s">
        <v>511</v>
      </c>
      <c r="D8" s="26" t="s">
        <v>263</v>
      </c>
      <c r="E8" s="14" t="s">
        <v>99</v>
      </c>
      <c r="F8" s="26" t="s">
        <v>34</v>
      </c>
      <c r="G8" s="69" t="s">
        <v>512</v>
      </c>
    </row>
    <row r="9" customFormat="false" ht="30" hidden="false" customHeight="true" outlineLevel="0" collapsed="false">
      <c r="B9" s="26" t="n">
        <v>4</v>
      </c>
      <c r="C9" s="12" t="s">
        <v>513</v>
      </c>
      <c r="D9" s="26" t="s">
        <v>514</v>
      </c>
      <c r="E9" s="14" t="s">
        <v>99</v>
      </c>
      <c r="F9" s="26" t="s">
        <v>509</v>
      </c>
      <c r="G9" s="69" t="s">
        <v>515</v>
      </c>
    </row>
    <row r="10" customFormat="false" ht="30" hidden="false" customHeight="true" outlineLevel="0" collapsed="false">
      <c r="B10" s="26" t="n">
        <v>5</v>
      </c>
      <c r="C10" s="12" t="s">
        <v>516</v>
      </c>
      <c r="D10" s="26" t="s">
        <v>514</v>
      </c>
      <c r="E10" s="16" t="s">
        <v>105</v>
      </c>
      <c r="F10" s="26" t="s">
        <v>509</v>
      </c>
      <c r="G10" s="69" t="s">
        <v>517</v>
      </c>
    </row>
    <row r="11" customFormat="false" ht="30" hidden="false" customHeight="true" outlineLevel="0" collapsed="false">
      <c r="B11" s="26" t="n">
        <v>6</v>
      </c>
      <c r="C11" s="12" t="s">
        <v>518</v>
      </c>
      <c r="D11" s="26" t="s">
        <v>514</v>
      </c>
      <c r="E11" s="16" t="s">
        <v>105</v>
      </c>
      <c r="F11" s="26" t="s">
        <v>519</v>
      </c>
      <c r="G11" s="69" t="s">
        <v>520</v>
      </c>
    </row>
    <row r="12" customFormat="false" ht="30" hidden="false" customHeight="true" outlineLevel="0" collapsed="false">
      <c r="B12" s="26" t="n">
        <v>7</v>
      </c>
      <c r="C12" s="12" t="s">
        <v>521</v>
      </c>
      <c r="D12" s="26" t="s">
        <v>522</v>
      </c>
      <c r="E12" s="17" t="s">
        <v>107</v>
      </c>
      <c r="F12" s="26" t="s">
        <v>519</v>
      </c>
      <c r="G12" s="69" t="s">
        <v>523</v>
      </c>
    </row>
    <row r="13" customFormat="false" ht="30" hidden="false" customHeight="true" outlineLevel="0" collapsed="false">
      <c r="B13" s="26" t="n">
        <v>8</v>
      </c>
      <c r="C13" s="12" t="s">
        <v>524</v>
      </c>
      <c r="D13" s="26" t="s">
        <v>525</v>
      </c>
      <c r="E13" s="17" t="s">
        <v>107</v>
      </c>
      <c r="F13" s="26" t="s">
        <v>519</v>
      </c>
      <c r="G13" s="69" t="s">
        <v>526</v>
      </c>
    </row>
    <row r="14" customFormat="false" ht="30" hidden="false" customHeight="true" outlineLevel="0" collapsed="false">
      <c r="B14" s="26" t="n">
        <v>9</v>
      </c>
      <c r="C14" s="12" t="s">
        <v>527</v>
      </c>
      <c r="D14" s="26" t="s">
        <v>514</v>
      </c>
      <c r="E14" s="17" t="s">
        <v>107</v>
      </c>
      <c r="F14" s="26" t="s">
        <v>44</v>
      </c>
      <c r="G14" s="69" t="s">
        <v>528</v>
      </c>
    </row>
    <row r="15" customFormat="false" ht="30" hidden="false" customHeight="true" outlineLevel="0" collapsed="false">
      <c r="B15" s="26" t="n">
        <v>10</v>
      </c>
      <c r="C15" s="12" t="s">
        <v>529</v>
      </c>
      <c r="D15" s="26" t="s">
        <v>530</v>
      </c>
      <c r="E15" s="16" t="s">
        <v>105</v>
      </c>
      <c r="F15" s="26" t="s">
        <v>44</v>
      </c>
      <c r="G15" s="69" t="s">
        <v>531</v>
      </c>
    </row>
    <row r="16" customFormat="false" ht="30" hidden="false" customHeight="true" outlineLevel="0" collapsed="false">
      <c r="B16" s="26" t="n">
        <v>11</v>
      </c>
      <c r="C16" s="12" t="s">
        <v>532</v>
      </c>
      <c r="D16" s="26" t="s">
        <v>530</v>
      </c>
      <c r="E16" s="17" t="s">
        <v>107</v>
      </c>
      <c r="F16" s="26" t="s">
        <v>44</v>
      </c>
      <c r="G16" s="69" t="s">
        <v>533</v>
      </c>
    </row>
    <row r="17" customFormat="false" ht="30" hidden="false" customHeight="true" outlineLevel="0" collapsed="false">
      <c r="B17" s="26" t="n">
        <v>12</v>
      </c>
      <c r="C17" s="12" t="s">
        <v>534</v>
      </c>
      <c r="D17" s="26" t="s">
        <v>14</v>
      </c>
      <c r="E17" s="17" t="s">
        <v>107</v>
      </c>
      <c r="F17" s="26" t="s">
        <v>535</v>
      </c>
      <c r="G17" s="69" t="s">
        <v>536</v>
      </c>
    </row>
    <row r="18" customFormat="false" ht="30" hidden="false" customHeight="true" outlineLevel="0" collapsed="false">
      <c r="B18" s="26" t="n">
        <v>13</v>
      </c>
      <c r="C18" s="12" t="s">
        <v>537</v>
      </c>
      <c r="D18" s="26" t="s">
        <v>514</v>
      </c>
      <c r="E18" s="17" t="s">
        <v>114</v>
      </c>
      <c r="F18" s="26" t="s">
        <v>535</v>
      </c>
      <c r="G18" s="69" t="s">
        <v>538</v>
      </c>
    </row>
    <row r="19" customFormat="false" ht="30" hidden="false" customHeight="true" outlineLevel="0" collapsed="false">
      <c r="B19" s="26" t="n">
        <v>14</v>
      </c>
      <c r="C19" s="12" t="s">
        <v>539</v>
      </c>
      <c r="D19" s="26" t="s">
        <v>540</v>
      </c>
      <c r="E19" s="17" t="s">
        <v>107</v>
      </c>
      <c r="F19" s="26" t="s">
        <v>535</v>
      </c>
      <c r="G19" s="69" t="s">
        <v>541</v>
      </c>
    </row>
    <row r="20" customFormat="false" ht="30" hidden="false" customHeight="true" outlineLevel="0" collapsed="false">
      <c r="B20" s="26" t="n">
        <v>15</v>
      </c>
      <c r="C20" s="12" t="s">
        <v>542</v>
      </c>
      <c r="D20" s="26" t="s">
        <v>530</v>
      </c>
      <c r="E20" s="17" t="s">
        <v>114</v>
      </c>
      <c r="F20" s="26" t="s">
        <v>52</v>
      </c>
      <c r="G20" s="69" t="s">
        <v>543</v>
      </c>
    </row>
    <row r="22" customFormat="false" ht="15" hidden="false" customHeight="false" outlineLevel="0" collapsed="false">
      <c r="B22" s="4" t="s">
        <v>544</v>
      </c>
      <c r="C22" s="4"/>
      <c r="D22" s="4"/>
      <c r="E22" s="4"/>
      <c r="F22" s="4"/>
      <c r="G22" s="4"/>
    </row>
    <row r="23" customFormat="false" ht="19.5" hidden="false" customHeight="true" outlineLevel="0" collapsed="false">
      <c r="B23" s="67" t="s">
        <v>545</v>
      </c>
      <c r="C23" s="67"/>
      <c r="D23" s="67"/>
      <c r="E23" s="67"/>
      <c r="F23" s="67"/>
      <c r="G23" s="67"/>
    </row>
    <row r="24" customFormat="false" ht="19.5" hidden="false" customHeight="true" outlineLevel="0" collapsed="false">
      <c r="B24" s="67" t="s">
        <v>546</v>
      </c>
      <c r="C24" s="67"/>
      <c r="D24" s="67"/>
      <c r="E24" s="67"/>
      <c r="F24" s="67"/>
      <c r="G24" s="67"/>
    </row>
    <row r="25" customFormat="false" ht="19.5" hidden="false" customHeight="true" outlineLevel="0" collapsed="false">
      <c r="B25" s="67" t="s">
        <v>547</v>
      </c>
      <c r="C25" s="67"/>
      <c r="D25" s="67"/>
      <c r="E25" s="67"/>
      <c r="F25" s="67"/>
      <c r="G25" s="67"/>
    </row>
    <row r="26" customFormat="false" ht="19.5" hidden="false" customHeight="true" outlineLevel="0" collapsed="false">
      <c r="B26" s="67" t="s">
        <v>548</v>
      </c>
      <c r="C26" s="67"/>
      <c r="D26" s="67"/>
      <c r="E26" s="67"/>
      <c r="F26" s="67"/>
      <c r="G26" s="67"/>
    </row>
  </sheetData>
  <mergeCells count="7">
    <mergeCell ref="B2:H2"/>
    <mergeCell ref="B3:H3"/>
    <mergeCell ref="B22:G22"/>
    <mergeCell ref="B23:G23"/>
    <mergeCell ref="B24:G24"/>
    <mergeCell ref="B25:G25"/>
    <mergeCell ref="B26:G26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2026-10-02T01:40:28Z</dcterms:created>
  <dc:creator>openpyxl</dc:creator>
  <dc:description/>
  <dc:language>en-US</dc:language>
  <cp:lastModifiedBy/>
  <dcterms:modified xsi:type="dcterms:W3CDTF">2026-10-02T01:40:30Z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